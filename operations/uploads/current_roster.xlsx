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venkatesh.k\Downloads\"/>
    </mc:Choice>
  </mc:AlternateContent>
  <xr:revisionPtr revIDLastSave="0" documentId="13_ncr:1_{F66BD584-54E8-4C6C-8AE2-265BB98764A3}" xr6:coauthVersionLast="47" xr6:coauthVersionMax="47" xr10:uidLastSave="{00000000-0000-0000-0000-000000000000}"/>
  <bookViews>
    <workbookView xWindow="20370" yWindow="-120" windowWidth="29040" windowHeight="15720" tabRatio="655" firstSheet="1" activeTab="1" xr2:uid="{00000000-000D-0000-FFFF-FFFF00000000}"/>
  </bookViews>
  <sheets>
    <sheet name="Sep 2025 (2)" sheetId="203" state="hidden" r:id="rId1"/>
    <sheet name="Aug 2026" sheetId="217" r:id="rId2"/>
    <sheet name="Nov 2025 (2)" sheetId="209" state="hidden" r:id="rId3"/>
    <sheet name="Oct 2025 (2)" sheetId="205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217" l="1"/>
  <c r="E18" i="217" s="1"/>
  <c r="F18" i="217" l="1"/>
  <c r="G18" i="217" s="1"/>
  <c r="H18" i="217" s="1"/>
  <c r="I18" i="217" s="1"/>
  <c r="C27" i="217" s="1"/>
  <c r="D27" i="217" s="1"/>
  <c r="E27" i="217" s="1"/>
  <c r="F27" i="217" s="1"/>
  <c r="G27" i="217" s="1"/>
  <c r="H27" i="217" s="1"/>
  <c r="I27" i="217" s="1"/>
  <c r="C37" i="217" s="1"/>
  <c r="D37" i="217" s="1"/>
  <c r="E37" i="217" s="1"/>
  <c r="F37" i="217" s="1"/>
  <c r="G37" i="217" s="1"/>
  <c r="H37" i="217" s="1"/>
  <c r="I37" i="217" s="1"/>
  <c r="C47" i="217" s="1"/>
  <c r="D47" i="217" s="1"/>
  <c r="E47" i="217" s="1"/>
  <c r="F47" i="217" s="1"/>
  <c r="G47" i="217" s="1"/>
  <c r="H47" i="217" s="1"/>
  <c r="I47" i="217" s="1"/>
  <c r="C57" i="217" s="1"/>
  <c r="D57" i="217" s="1"/>
  <c r="E57" i="217" s="1"/>
  <c r="F57" i="217" s="1"/>
  <c r="G57" i="217" s="1"/>
  <c r="H57" i="217" s="1"/>
  <c r="I57" i="217" s="1"/>
  <c r="H13" i="217" l="1" a="1"/>
  <c r="H13" i="217" s="1"/>
  <c r="H2" i="217" a="1"/>
  <c r="H2" i="217" s="1"/>
  <c r="H9" i="217" a="1"/>
  <c r="H9" i="217" s="1"/>
  <c r="H8" i="217" a="1"/>
  <c r="H8" i="217" s="1"/>
  <c r="H14" i="217" a="1"/>
  <c r="H14" i="217" s="1"/>
  <c r="H7" i="217" a="1"/>
  <c r="H7" i="217" s="1"/>
  <c r="H12" i="217" a="1"/>
  <c r="H12" i="217" s="1"/>
  <c r="H6" i="217" a="1"/>
  <c r="H6" i="217" s="1"/>
  <c r="H11" i="217" a="1"/>
  <c r="H11" i="217" s="1"/>
  <c r="H5" i="217" a="1"/>
  <c r="H5" i="217" s="1"/>
  <c r="H10" i="217" a="1"/>
  <c r="H10" i="217" s="1"/>
  <c r="H4" i="217" a="1"/>
  <c r="H4" i="217" s="1"/>
  <c r="H3" i="217" a="1"/>
  <c r="H3" i="217" s="1"/>
  <c r="D18" i="209"/>
  <c r="E18" i="209" s="1"/>
  <c r="F18" i="209" l="1"/>
  <c r="G18" i="209" s="1"/>
  <c r="H18" i="209" s="1"/>
  <c r="I18" i="209" s="1"/>
  <c r="C27" i="209" s="1"/>
  <c r="D27" i="209" s="1"/>
  <c r="E27" i="209" s="1"/>
  <c r="F27" i="209" s="1"/>
  <c r="G27" i="209" s="1"/>
  <c r="H27" i="209" s="1"/>
  <c r="I27" i="209" s="1"/>
  <c r="C36" i="209" s="1"/>
  <c r="D36" i="209" s="1"/>
  <c r="E36" i="209" s="1"/>
  <c r="F36" i="209" s="1"/>
  <c r="G36" i="209" s="1"/>
  <c r="H36" i="209" s="1"/>
  <c r="I36" i="209" s="1"/>
  <c r="C45" i="209" s="1"/>
  <c r="D45" i="209" s="1"/>
  <c r="E45" i="209" s="1"/>
  <c r="F45" i="209" s="1"/>
  <c r="G45" i="209" s="1"/>
  <c r="H45" i="209" s="1"/>
  <c r="I45" i="209" s="1"/>
  <c r="C54" i="209" s="1"/>
  <c r="D54" i="209" s="1"/>
  <c r="E54" i="209" s="1"/>
  <c r="F54" i="209" s="1"/>
  <c r="G54" i="209" s="1"/>
  <c r="H54" i="209" s="1"/>
  <c r="I54" i="209" s="1"/>
  <c r="C63" i="209" s="1"/>
  <c r="D63" i="209" s="1"/>
  <c r="E63" i="209" s="1"/>
  <c r="F63" i="209" s="1"/>
  <c r="G63" i="209" s="1"/>
  <c r="H63" i="209" s="1"/>
  <c r="I63" i="209" s="1"/>
  <c r="H9" i="209" a="1"/>
  <c r="H9" i="209" s="1"/>
  <c r="H10" i="209" a="1"/>
  <c r="H10" i="209" s="1"/>
  <c r="H8" i="209" a="1"/>
  <c r="H8" i="209" s="1"/>
  <c r="E18" i="205"/>
  <c r="D18" i="205"/>
  <c r="D18" i="203"/>
  <c r="E18" i="203" s="1"/>
  <c r="H3" i="209" l="1" a="1"/>
  <c r="H3" i="209" s="1"/>
  <c r="H14" i="209" a="1"/>
  <c r="H14" i="209" s="1"/>
  <c r="H11" i="209" a="1"/>
  <c r="H11" i="209" s="1"/>
  <c r="H2" i="209" a="1"/>
  <c r="H2" i="209" s="1"/>
  <c r="H4" i="209" a="1"/>
  <c r="H4" i="209" s="1"/>
  <c r="H5" i="209" a="1"/>
  <c r="H5" i="209" s="1"/>
  <c r="H13" i="209" a="1"/>
  <c r="H13" i="209" s="1"/>
  <c r="H6" i="209" a="1"/>
  <c r="H6" i="209" s="1"/>
  <c r="H7" i="209" a="1"/>
  <c r="H7" i="209" s="1"/>
  <c r="H15" i="209" a="1"/>
  <c r="H15" i="209" s="1"/>
  <c r="H12" i="209" a="1"/>
  <c r="H12" i="209" s="1"/>
  <c r="H11" i="205" a="1"/>
  <c r="H11" i="205" s="1"/>
  <c r="F18" i="205"/>
  <c r="G18" i="205" s="1"/>
  <c r="H18" i="205" s="1"/>
  <c r="I18" i="205" s="1"/>
  <c r="C27" i="205" s="1"/>
  <c r="D27" i="205" s="1"/>
  <c r="E27" i="205" s="1"/>
  <c r="F27" i="205" s="1"/>
  <c r="G27" i="205" s="1"/>
  <c r="H27" i="205" s="1"/>
  <c r="I27" i="205" s="1"/>
  <c r="C36" i="205" s="1"/>
  <c r="D36" i="205" s="1"/>
  <c r="E36" i="205" s="1"/>
  <c r="F36" i="205" s="1"/>
  <c r="G36" i="205" s="1"/>
  <c r="H36" i="205" s="1"/>
  <c r="I36" i="205" s="1"/>
  <c r="C45" i="205" s="1"/>
  <c r="D45" i="205" s="1"/>
  <c r="E45" i="205" s="1"/>
  <c r="F45" i="205" s="1"/>
  <c r="G45" i="205" s="1"/>
  <c r="H45" i="205" s="1"/>
  <c r="I45" i="205" s="1"/>
  <c r="C54" i="205" s="1"/>
  <c r="D54" i="205" s="1"/>
  <c r="E54" i="205" s="1"/>
  <c r="F54" i="205" s="1"/>
  <c r="G54" i="205" s="1"/>
  <c r="H54" i="205" s="1"/>
  <c r="I54" i="205" s="1"/>
  <c r="C63" i="205" s="1"/>
  <c r="D63" i="205" s="1"/>
  <c r="E63" i="205" s="1"/>
  <c r="F63" i="205" s="1"/>
  <c r="G63" i="205" s="1"/>
  <c r="H63" i="205" s="1"/>
  <c r="I63" i="205" s="1"/>
  <c r="H3" i="205" a="1"/>
  <c r="H3" i="205" s="1"/>
  <c r="H4" i="205" a="1"/>
  <c r="H4" i="205" s="1"/>
  <c r="H6" i="205" a="1"/>
  <c r="H6" i="205" s="1"/>
  <c r="H12" i="205" a="1"/>
  <c r="H12" i="205" s="1"/>
  <c r="H3" i="203" a="1"/>
  <c r="H3" i="203" s="1"/>
  <c r="H12" i="203" a="1"/>
  <c r="H12" i="203" s="1"/>
  <c r="F18" i="203"/>
  <c r="G18" i="203" s="1"/>
  <c r="H18" i="203" s="1"/>
  <c r="I18" i="203" s="1"/>
  <c r="C27" i="203" s="1"/>
  <c r="D27" i="203" s="1"/>
  <c r="E27" i="203" s="1"/>
  <c r="F27" i="203" s="1"/>
  <c r="G27" i="203" s="1"/>
  <c r="H27" i="203" s="1"/>
  <c r="I27" i="203" s="1"/>
  <c r="C36" i="203" s="1"/>
  <c r="D36" i="203" s="1"/>
  <c r="E36" i="203" s="1"/>
  <c r="F36" i="203" s="1"/>
  <c r="G36" i="203" s="1"/>
  <c r="H36" i="203" s="1"/>
  <c r="I36" i="203" s="1"/>
  <c r="C45" i="203" s="1"/>
  <c r="D45" i="203" s="1"/>
  <c r="E45" i="203" s="1"/>
  <c r="F45" i="203" s="1"/>
  <c r="G45" i="203" s="1"/>
  <c r="H45" i="203" s="1"/>
  <c r="I45" i="203" s="1"/>
  <c r="C54" i="203" s="1"/>
  <c r="D54" i="203" s="1"/>
  <c r="E54" i="203" s="1"/>
  <c r="F54" i="203" s="1"/>
  <c r="G54" i="203" s="1"/>
  <c r="H54" i="203" s="1"/>
  <c r="I54" i="203" s="1"/>
  <c r="H15" i="203" a="1"/>
  <c r="H15" i="203" s="1"/>
  <c r="H13" i="203" a="1"/>
  <c r="H13" i="203" s="1"/>
  <c r="H11" i="203" a="1"/>
  <c r="H11" i="203" s="1"/>
  <c r="H9" i="203" a="1"/>
  <c r="H9" i="203" s="1"/>
  <c r="H7" i="203" a="1"/>
  <c r="H7" i="203" s="1"/>
  <c r="H5" i="203" a="1"/>
  <c r="H5" i="203" s="1"/>
  <c r="H9" i="205" l="1" a="1"/>
  <c r="H9" i="205" s="1"/>
  <c r="H10" i="205" a="1"/>
  <c r="H10" i="205" s="1"/>
  <c r="H2" i="205" a="1"/>
  <c r="H2" i="205" s="1"/>
  <c r="H15" i="205" a="1"/>
  <c r="H15" i="205" s="1"/>
  <c r="H5" i="205" a="1"/>
  <c r="H5" i="205" s="1"/>
  <c r="H8" i="205" a="1"/>
  <c r="H8" i="205" s="1"/>
  <c r="H7" i="205" a="1"/>
  <c r="H7" i="205" s="1"/>
  <c r="H13" i="205" a="1"/>
  <c r="H13" i="205" s="1"/>
  <c r="H14" i="205" a="1"/>
  <c r="H14" i="205" s="1"/>
  <c r="H2" i="203" a="1"/>
  <c r="H2" i="203" s="1"/>
  <c r="H6" i="203" a="1"/>
  <c r="H6" i="203" s="1"/>
  <c r="H8" i="203" a="1"/>
  <c r="H8" i="203" s="1"/>
  <c r="H10" i="203" a="1"/>
  <c r="H10" i="203" s="1"/>
  <c r="H4" i="203" a="1"/>
  <c r="H4" i="203" s="1"/>
  <c r="H14" i="203" a="1"/>
  <c r="H14" i="20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Arvind Chincholi</author>
  </authors>
  <commentList>
    <comment ref="I28" authorId="0" shapeId="0" xr:uid="{5B2841E2-903A-489A-8E7A-59E2AF59831A}">
      <text>
        <r>
          <rPr>
            <b/>
            <sz val="9"/>
            <color indexed="81"/>
            <rFont val="Tahoma"/>
            <family val="2"/>
          </rPr>
          <t>Arvind Chincholi:</t>
        </r>
        <r>
          <rPr>
            <sz val="9"/>
            <color indexed="81"/>
            <rFont val="Tahoma"/>
            <family val="2"/>
          </rPr>
          <t xml:space="preserve">
Additional shift - comp off to be given.</t>
        </r>
      </text>
    </comment>
    <comment ref="I38" authorId="0" shapeId="0" xr:uid="{CC6BF00E-38A3-4E25-BC5F-3DAF6703DA40}">
      <text>
        <r>
          <rPr>
            <b/>
            <sz val="9"/>
            <color indexed="81"/>
            <rFont val="Tahoma"/>
            <family val="2"/>
          </rPr>
          <t>Arvind Chincholi:</t>
        </r>
        <r>
          <rPr>
            <sz val="9"/>
            <color indexed="81"/>
            <rFont val="Tahoma"/>
            <family val="2"/>
          </rPr>
          <t xml:space="preserve">
Additional shift - comp off to be given.</t>
        </r>
      </text>
    </comment>
    <comment ref="F40" authorId="0" shapeId="0" xr:uid="{34E1B8A9-794E-4FBD-BD20-81FE6AC93723}">
      <text>
        <r>
          <rPr>
            <b/>
            <sz val="9"/>
            <color indexed="81"/>
            <rFont val="Tahoma"/>
            <family val="2"/>
          </rPr>
          <t>Arvind Chincholi:</t>
        </r>
        <r>
          <rPr>
            <sz val="9"/>
            <color indexed="81"/>
            <rFont val="Tahoma"/>
            <family val="2"/>
          </rPr>
          <t xml:space="preserve">
Adith on comp-off</t>
        </r>
      </text>
    </comment>
    <comment ref="G41" authorId="0" shapeId="0" xr:uid="{22471B0C-A4D5-477D-9CF9-307389D27154}">
      <text>
        <r>
          <rPr>
            <b/>
            <sz val="9"/>
            <color indexed="81"/>
            <rFont val="Tahoma"/>
            <family val="2"/>
          </rPr>
          <t>Arvind Chincholi:</t>
        </r>
        <r>
          <rPr>
            <sz val="9"/>
            <color indexed="81"/>
            <rFont val="Tahoma"/>
            <family val="2"/>
          </rPr>
          <t xml:space="preserve">
Prasanna on comp-off.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Arvind C</author>
  </authors>
  <commentList>
    <comment ref="G21" authorId="0" shapeId="0" xr:uid="{FA412537-2971-415B-AA9B-07E0D8D264E0}">
      <text>
        <r>
          <rPr>
            <b/>
            <sz val="9"/>
            <color indexed="81"/>
            <rFont val="Tahoma"/>
            <family val="2"/>
          </rPr>
          <t>Arvind C:</t>
        </r>
        <r>
          <rPr>
            <sz val="9"/>
            <color indexed="81"/>
            <rFont val="Tahoma"/>
            <family val="2"/>
          </rPr>
          <t xml:space="preserve">
Nandish on leave.</t>
        </r>
      </text>
    </comment>
    <comment ref="C24" authorId="0" shapeId="0" xr:uid="{338AFDEA-0E09-40A6-B023-616E7BFA5284}">
      <text>
        <r>
          <rPr>
            <b/>
            <sz val="9"/>
            <color indexed="81"/>
            <rFont val="Tahoma"/>
            <family val="2"/>
          </rPr>
          <t>Arvind C:</t>
        </r>
        <r>
          <rPr>
            <sz val="9"/>
            <color indexed="81"/>
            <rFont val="Tahoma"/>
            <family val="2"/>
          </rPr>
          <t xml:space="preserve">
Darshan taking comp-off (worked extra on 16-Oct.</t>
        </r>
      </text>
    </comment>
    <comment ref="G24" authorId="0" shapeId="0" xr:uid="{9DF62E7E-9EB3-4094-B6E5-EB05C7702F62}">
      <text>
        <r>
          <rPr>
            <b/>
            <sz val="9"/>
            <color indexed="81"/>
            <rFont val="Tahoma"/>
            <family val="2"/>
          </rPr>
          <t>Arvind C:</t>
        </r>
        <r>
          <rPr>
            <sz val="9"/>
            <color indexed="81"/>
            <rFont val="Tahoma"/>
            <family val="2"/>
          </rPr>
          <t xml:space="preserve">
Darshan on swap shift for Adith (ref: 25-Oct).</t>
        </r>
      </text>
    </comment>
    <comment ref="H24" authorId="0" shapeId="0" xr:uid="{91E06A50-960E-4029-B220-E2A1C2E2EDDC}">
      <text>
        <r>
          <rPr>
            <b/>
            <sz val="9"/>
            <color indexed="81"/>
            <rFont val="Tahoma"/>
            <family val="2"/>
          </rPr>
          <t>Arvind C:</t>
        </r>
        <r>
          <rPr>
            <sz val="9"/>
            <color indexed="81"/>
            <rFont val="Tahoma"/>
            <family val="2"/>
          </rPr>
          <t xml:space="preserve">
Adith on comp-off as he worked on 26-Oct</t>
        </r>
      </text>
    </comment>
    <comment ref="D28" authorId="0" shapeId="0" xr:uid="{809D3EB0-74CB-4C25-A0B3-20A744ABA02D}">
      <text>
        <r>
          <rPr>
            <b/>
            <sz val="9"/>
            <color indexed="81"/>
            <rFont val="Tahoma"/>
            <family val="2"/>
          </rPr>
          <t>Arvind C:</t>
        </r>
        <r>
          <rPr>
            <sz val="9"/>
            <color indexed="81"/>
            <rFont val="Tahoma"/>
            <family val="2"/>
          </rPr>
          <t xml:space="preserve">
Ranjith on leave.
Darshan shift change.</t>
        </r>
      </text>
    </comment>
    <comment ref="E29" authorId="0" shapeId="0" xr:uid="{EFBC160A-43A4-4A3A-A741-C834F772D620}">
      <text>
        <r>
          <rPr>
            <b/>
            <sz val="9"/>
            <color indexed="81"/>
            <rFont val="Tahoma"/>
            <family val="2"/>
          </rPr>
          <t>Arvind C:</t>
        </r>
        <r>
          <rPr>
            <sz val="9"/>
            <color indexed="81"/>
            <rFont val="Tahoma"/>
            <family val="2"/>
          </rPr>
          <t xml:space="preserve">
Darshan on leave.</t>
        </r>
      </text>
    </comment>
    <comment ref="F32" authorId="0" shapeId="0" xr:uid="{AFC7C64E-F7DD-4863-9BF2-C4EBA6F38A5C}">
      <text>
        <r>
          <rPr>
            <b/>
            <sz val="9"/>
            <color indexed="81"/>
            <rFont val="Tahoma"/>
            <family val="2"/>
          </rPr>
          <t>Arvind C:</t>
        </r>
        <r>
          <rPr>
            <sz val="9"/>
            <color indexed="81"/>
            <rFont val="Tahoma"/>
            <family val="2"/>
          </rPr>
          <t xml:space="preserve">
Basavaraj on sick leave.</t>
        </r>
      </text>
    </comment>
    <comment ref="G32" authorId="0" shapeId="0" xr:uid="{33B66694-40E9-423E-A900-ECBA28B53725}">
      <text>
        <r>
          <rPr>
            <b/>
            <sz val="9"/>
            <color indexed="81"/>
            <rFont val="Tahoma"/>
            <family val="2"/>
          </rPr>
          <t>Arvind C:</t>
        </r>
        <r>
          <rPr>
            <sz val="9"/>
            <color indexed="81"/>
            <rFont val="Tahoma"/>
            <family val="2"/>
          </rPr>
          <t xml:space="preserve">
Basavaraj on sick leave.</t>
        </r>
      </text>
    </comment>
    <comment ref="H32" authorId="0" shapeId="0" xr:uid="{DD86D94A-26F1-43CD-B66A-D0B8A9E99D61}">
      <text>
        <r>
          <rPr>
            <b/>
            <sz val="9"/>
            <color indexed="81"/>
            <rFont val="Tahoma"/>
            <family val="2"/>
          </rPr>
          <t>Arvind C:</t>
        </r>
        <r>
          <rPr>
            <sz val="9"/>
            <color indexed="81"/>
            <rFont val="Tahoma"/>
            <family val="2"/>
          </rPr>
          <t xml:space="preserve">
Basavaraj on sick leave.</t>
        </r>
      </text>
    </comment>
    <comment ref="G33" authorId="0" shapeId="0" xr:uid="{0029536D-8ABE-46EF-8658-36C332DFFDDF}">
      <text>
        <r>
          <rPr>
            <b/>
            <sz val="9"/>
            <color indexed="81"/>
            <rFont val="Tahoma"/>
            <family val="2"/>
          </rPr>
          <t>Arvind C:</t>
        </r>
        <r>
          <rPr>
            <sz val="9"/>
            <color indexed="81"/>
            <rFont val="Tahoma"/>
            <family val="2"/>
          </rPr>
          <t xml:space="preserve">
Adith on leave.</t>
        </r>
      </text>
    </comment>
    <comment ref="G39" authorId="0" shapeId="0" xr:uid="{A3D55EF3-CC3F-481F-9311-4CBCECA69C20}">
      <text>
        <r>
          <rPr>
            <b/>
            <sz val="9"/>
            <color indexed="81"/>
            <rFont val="Tahoma"/>
            <family val="2"/>
          </rPr>
          <t>Arvind C:</t>
        </r>
        <r>
          <rPr>
            <sz val="9"/>
            <color indexed="81"/>
            <rFont val="Tahoma"/>
            <family val="2"/>
          </rPr>
          <t xml:space="preserve">
Nandish on leave.</t>
        </r>
      </text>
    </comment>
    <comment ref="D40" authorId="0" shapeId="0" xr:uid="{FC5376C6-98E3-4AB8-B6BF-86F0C2B40C05}">
      <text>
        <r>
          <rPr>
            <b/>
            <sz val="9"/>
            <color indexed="81"/>
            <rFont val="Tahoma"/>
            <family val="2"/>
          </rPr>
          <t>Arvind C:</t>
        </r>
        <r>
          <rPr>
            <sz val="9"/>
            <color indexed="81"/>
            <rFont val="Tahoma"/>
            <family val="2"/>
          </rPr>
          <t xml:space="preserve">
Venkatesh on leave.</t>
        </r>
      </text>
    </comment>
    <comment ref="E40" authorId="0" shapeId="0" xr:uid="{1F9D7676-95AF-4511-9289-DC0E174AF1A5}">
      <text>
        <r>
          <rPr>
            <b/>
            <sz val="9"/>
            <color indexed="81"/>
            <rFont val="Tahoma"/>
            <family val="2"/>
          </rPr>
          <t>Arvind C:</t>
        </r>
        <r>
          <rPr>
            <sz val="9"/>
            <color indexed="81"/>
            <rFont val="Tahoma"/>
            <family val="2"/>
          </rPr>
          <t xml:space="preserve">
Venkatesh on leave.</t>
        </r>
      </text>
    </comment>
    <comment ref="D42" authorId="0" shapeId="0" xr:uid="{CF91E867-0E85-4771-BF62-6576A33E316B}">
      <text>
        <r>
          <rPr>
            <b/>
            <sz val="9"/>
            <color indexed="81"/>
            <rFont val="Tahoma"/>
            <family val="2"/>
          </rPr>
          <t>Arvind C:</t>
        </r>
        <r>
          <rPr>
            <sz val="9"/>
            <color indexed="81"/>
            <rFont val="Tahoma"/>
            <family val="2"/>
          </rPr>
          <t xml:space="preserve">
Gowtham on leave.</t>
        </r>
      </text>
    </comment>
    <comment ref="G42" authorId="0" shapeId="0" xr:uid="{B495E9D5-C9E0-4017-8A07-E151649AF508}">
      <text>
        <r>
          <rPr>
            <b/>
            <sz val="9"/>
            <color indexed="81"/>
            <rFont val="Tahoma"/>
            <family val="2"/>
          </rPr>
          <t>Arvind C:</t>
        </r>
        <r>
          <rPr>
            <sz val="9"/>
            <color indexed="81"/>
            <rFont val="Tahoma"/>
            <family val="2"/>
          </rPr>
          <t xml:space="preserve">
Darshan &amp; Adith on swap.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<sst xmlns="http://schemas.openxmlformats.org/spreadsheetml/2006/main" count="1042" uniqueCount="112">
  <si>
    <t>Sat &amp; Sun</t>
  </si>
  <si>
    <t>Sunday</t>
  </si>
  <si>
    <t>Monday</t>
  </si>
  <si>
    <t>Tuesday</t>
  </si>
  <si>
    <t>Wednesday</t>
  </si>
  <si>
    <t>Thursday</t>
  </si>
  <si>
    <t>Friday</t>
  </si>
  <si>
    <t>Saturday</t>
  </si>
  <si>
    <t>06:00 - 15:00</t>
  </si>
  <si>
    <t>14:00 - 23:00</t>
  </si>
  <si>
    <t>Week 2</t>
  </si>
  <si>
    <t>Week 3</t>
  </si>
  <si>
    <t>Week 4</t>
  </si>
  <si>
    <t>22:00 - 07:00</t>
  </si>
  <si>
    <t>Week 1</t>
  </si>
  <si>
    <t>Fri &amp; Sat</t>
  </si>
  <si>
    <t>Sun &amp; Mon</t>
  </si>
  <si>
    <t>Venkatesh</t>
  </si>
  <si>
    <t>Rakesh</t>
  </si>
  <si>
    <t>Shift Roster - IT Infra :</t>
  </si>
  <si>
    <t>17:30 - 02:30</t>
  </si>
  <si>
    <t>11:00 - 20:00</t>
  </si>
  <si>
    <t>Prasanna</t>
  </si>
  <si>
    <t>Prashant</t>
  </si>
  <si>
    <t>Harshith</t>
  </si>
  <si>
    <t>Madhan</t>
  </si>
  <si>
    <t>Ranjith</t>
  </si>
  <si>
    <t>Nandish</t>
  </si>
  <si>
    <t>Darshan</t>
  </si>
  <si>
    <t>01:00 - 10:00</t>
  </si>
  <si>
    <t>Adith</t>
  </si>
  <si>
    <t>Basavaraj</t>
  </si>
  <si>
    <t>Wed &amp; Thu</t>
  </si>
  <si>
    <t>Venkatesh &amp; Madhan</t>
  </si>
  <si>
    <t>Prashant &amp; Basavaraj (US)</t>
  </si>
  <si>
    <t xml:space="preserve">No. of Working Days: </t>
  </si>
  <si>
    <r>
      <t xml:space="preserve">SUN1
</t>
    </r>
    <r>
      <rPr>
        <b/>
        <sz val="14"/>
        <color theme="1"/>
        <rFont val="Calibri"/>
        <family val="2"/>
        <scheme val="minor"/>
      </rPr>
      <t>&amp;</t>
    </r>
    <r>
      <rPr>
        <b/>
        <sz val="15"/>
        <color theme="1"/>
        <rFont val="Calibri"/>
        <family val="2"/>
        <scheme val="minor"/>
      </rPr>
      <t xml:space="preserve">
SUN3</t>
    </r>
  </si>
  <si>
    <t>Mon &amp; Tue</t>
  </si>
  <si>
    <t>Gowtham</t>
  </si>
  <si>
    <t>Jayant</t>
  </si>
  <si>
    <t>Rakesh &amp; Gowtham</t>
  </si>
  <si>
    <t>Venkatesh, Madhan &amp; Jayant</t>
  </si>
  <si>
    <t>Nandish &amp; Adith (11pm)</t>
  </si>
  <si>
    <t>Week 5</t>
  </si>
  <si>
    <t>May &amp; Jun</t>
  </si>
  <si>
    <t>Jan &amp; Feb</t>
  </si>
  <si>
    <t>Mar &amp; Apr</t>
  </si>
  <si>
    <t>Nov &amp; Dec</t>
  </si>
  <si>
    <t>Sep &amp; Oct</t>
  </si>
  <si>
    <t>Ranjith &amp; Adith (11pm)</t>
  </si>
  <si>
    <t>NIGHT SHIFTS</t>
  </si>
  <si>
    <t>Harshith &amp; Adith (11pm)</t>
  </si>
  <si>
    <t xml:space="preserve"> Venkatesh, Rakesh, Prashant, Basavaraj, Madhan, Prasanna, Harshith, Darshan, Ranjith, Nandish, Adith, Gowtham, Jayant and Subheesh</t>
  </si>
  <si>
    <t>Subeesh</t>
  </si>
  <si>
    <t>Jul &amp; Aug</t>
  </si>
  <si>
    <t>September 2025</t>
  </si>
  <si>
    <t>Darshan &amp; Adith (11pm)</t>
  </si>
  <si>
    <t>Subeesh, Darshan &amp; Nandish (S3)</t>
  </si>
  <si>
    <t>Subeesh, Prasanna &amp; Nandish (S3)</t>
  </si>
  <si>
    <t>Subeesh &amp; Prasanna (S3)</t>
  </si>
  <si>
    <t>Subeesh, Ranjith &amp; Nandish (S3)</t>
  </si>
  <si>
    <t>Venkatesh, Madhan &amp; Gowtham</t>
  </si>
  <si>
    <t>Subeesh, Harshith &amp; Nandish (S3)</t>
  </si>
  <si>
    <t>Ranjith &amp; Jayant</t>
  </si>
  <si>
    <t>Subeesh &amp; Nandish (S3)</t>
  </si>
  <si>
    <t>October 2025</t>
  </si>
  <si>
    <r>
      <t xml:space="preserve">Prashant </t>
    </r>
    <r>
      <rPr>
        <strike/>
        <sz val="12"/>
        <color rgb="FFFF0000"/>
        <rFont val="Calibri"/>
        <family val="2"/>
      </rPr>
      <t>&amp; Basavaraj (US)</t>
    </r>
  </si>
  <si>
    <t>Darshan &amp; Adith (9pm)</t>
  </si>
  <si>
    <t>Harshith &amp; Adith (9pm)</t>
  </si>
  <si>
    <t>Nandish &amp; Adith (9pm)</t>
  </si>
  <si>
    <t>Harshith &amp; Subeesh (S3)</t>
  </si>
  <si>
    <t xml:space="preserve"> Venkatesh, Prashant, Basavaraj, Madhan, Prasanna, Harshith, Darshan, Ranjith, Nandish, Adith, Gowtham, Jayant, Subheesh and Prajwal</t>
  </si>
  <si>
    <t>Prajwal</t>
  </si>
  <si>
    <t>November 2025</t>
  </si>
  <si>
    <t>Adith &amp; Gowtham (9pm)</t>
  </si>
  <si>
    <t>Nandish &amp; Gowtham (9pm)</t>
  </si>
  <si>
    <t>Harshith, Subeesh &amp; Nandish (S3)</t>
  </si>
  <si>
    <t>Darshan &amp; Prajwal</t>
  </si>
  <si>
    <t>Prasanna &amp; Prajwal</t>
  </si>
  <si>
    <t>Tues &amp; Wed</t>
  </si>
  <si>
    <t>Thurs &amp; Fri</t>
  </si>
  <si>
    <t>Week 0</t>
  </si>
  <si>
    <t>Jayant &amp; Prajwal</t>
  </si>
  <si>
    <t>Ranjith, Jayant &amp; Prajwal</t>
  </si>
  <si>
    <t>Darshan, Adith (9pm) &amp; Gowtham</t>
  </si>
  <si>
    <r>
      <rPr>
        <strike/>
        <sz val="12"/>
        <color rgb="FFFF0000"/>
        <rFont val="Calibri"/>
        <family val="2"/>
      </rPr>
      <t>Darshan</t>
    </r>
    <r>
      <rPr>
        <sz val="12"/>
        <rFont val="Calibri"/>
        <family val="2"/>
      </rPr>
      <t xml:space="preserve">  Adith</t>
    </r>
  </si>
  <si>
    <r>
      <t xml:space="preserve">Nandish, </t>
    </r>
    <r>
      <rPr>
        <strike/>
        <sz val="11"/>
        <color rgb="FFFF0000"/>
        <rFont val="Calibri"/>
        <family val="2"/>
      </rPr>
      <t>Adith</t>
    </r>
    <r>
      <rPr>
        <sz val="11"/>
        <rFont val="Calibri"/>
        <family val="2"/>
      </rPr>
      <t xml:space="preserve"> (9pm) &amp; Gowtham</t>
    </r>
  </si>
  <si>
    <r>
      <t xml:space="preserve">Harshith, </t>
    </r>
    <r>
      <rPr>
        <sz val="12"/>
        <color rgb="FFFF0000"/>
        <rFont val="Calibri"/>
        <family val="2"/>
      </rPr>
      <t>Darshan</t>
    </r>
    <r>
      <rPr>
        <sz val="12"/>
        <rFont val="Calibri"/>
        <family val="2"/>
      </rPr>
      <t xml:space="preserve"> &amp; Gowtham</t>
    </r>
  </si>
  <si>
    <r>
      <t xml:space="preserve">Subeesh </t>
    </r>
    <r>
      <rPr>
        <strike/>
        <sz val="12"/>
        <color rgb="FFFF0000"/>
        <rFont val="Calibri"/>
        <family val="2"/>
        <scheme val="minor"/>
      </rPr>
      <t>&amp; Nandish (S3)</t>
    </r>
  </si>
  <si>
    <r>
      <rPr>
        <sz val="12"/>
        <color rgb="FFFF0000"/>
        <rFont val="Calibri"/>
        <family val="2"/>
      </rPr>
      <t>Prashant</t>
    </r>
    <r>
      <rPr>
        <sz val="12"/>
        <rFont val="Calibri"/>
        <family val="2"/>
      </rPr>
      <t xml:space="preserve"> &amp; Basavaraj (US)</t>
    </r>
  </si>
  <si>
    <r>
      <t>Ranjith</t>
    </r>
    <r>
      <rPr>
        <sz val="12"/>
        <rFont val="Calibri"/>
        <family val="2"/>
      </rPr>
      <t xml:space="preserve"> Darshan</t>
    </r>
  </si>
  <si>
    <r>
      <rPr>
        <strike/>
        <sz val="12"/>
        <color rgb="FFFF0000"/>
        <rFont val="Calibri"/>
        <family val="2"/>
        <scheme val="minor"/>
      </rPr>
      <t>Darshan &amp;</t>
    </r>
    <r>
      <rPr>
        <sz val="12"/>
        <rFont val="Calibri"/>
        <family val="2"/>
        <scheme val="minor"/>
      </rPr>
      <t xml:space="preserve"> Prajwal</t>
    </r>
  </si>
  <si>
    <r>
      <rPr>
        <sz val="12"/>
        <color rgb="FFFF0000"/>
        <rFont val="Calibri"/>
        <family val="2"/>
      </rPr>
      <t>Nandish</t>
    </r>
    <r>
      <rPr>
        <sz val="12"/>
        <rFont val="Calibri"/>
        <family val="2"/>
      </rPr>
      <t xml:space="preserve"> &amp; Gowtham (9pm)</t>
    </r>
  </si>
  <si>
    <r>
      <t xml:space="preserve">Adith </t>
    </r>
    <r>
      <rPr>
        <strike/>
        <sz val="12"/>
        <color rgb="FFFF0000"/>
        <rFont val="Calibri"/>
        <family val="2"/>
      </rPr>
      <t>&amp; Gowtham (9pm)</t>
    </r>
  </si>
  <si>
    <r>
      <rPr>
        <strike/>
        <sz val="12"/>
        <color rgb="FFFF0000"/>
        <rFont val="Calibri"/>
        <family val="2"/>
        <scheme val="minor"/>
      </rPr>
      <t>Venkatesh,</t>
    </r>
    <r>
      <rPr>
        <sz val="12"/>
        <rFont val="Calibri"/>
        <family val="2"/>
        <scheme val="minor"/>
      </rPr>
      <t xml:space="preserve"> Madhan &amp; Jayant</t>
    </r>
  </si>
  <si>
    <r>
      <t xml:space="preserve">Harshith, Subeesh </t>
    </r>
    <r>
      <rPr>
        <strike/>
        <sz val="12"/>
        <color rgb="FFFF0000"/>
        <rFont val="Calibri"/>
        <family val="2"/>
        <scheme val="minor"/>
      </rPr>
      <t>&amp; Nandish</t>
    </r>
    <r>
      <rPr>
        <sz val="12"/>
        <rFont val="Calibri"/>
        <family val="2"/>
        <scheme val="minor"/>
      </rPr>
      <t xml:space="preserve"> (S3)</t>
    </r>
  </si>
  <si>
    <r>
      <rPr>
        <strike/>
        <sz val="12"/>
        <color rgb="FFFF0000"/>
        <rFont val="Calibri"/>
        <family val="2"/>
      </rPr>
      <t>Adith &amp;</t>
    </r>
    <r>
      <rPr>
        <sz val="12"/>
        <rFont val="Calibri"/>
        <family val="2"/>
      </rPr>
      <t xml:space="preserve"> Darshan Gowtham (9pm)</t>
    </r>
  </si>
  <si>
    <t>Shashank</t>
  </si>
  <si>
    <t xml:space="preserve"> Venkatesh, Prashant, Basavaraj, Madhan, Prasanna, Harshith, Darshan, Ranjith, Nandish, Adith, Gowtham, Jayant, Prajwal, Shashank and Dhanajaya</t>
  </si>
  <si>
    <t>Dhananjay</t>
  </si>
  <si>
    <t>16:00 - 01:00</t>
  </si>
  <si>
    <t>13:00 - 22:00</t>
  </si>
  <si>
    <t>Venkatesh &amp; Gowtham (GS)</t>
  </si>
  <si>
    <t>Prajwal (GS) &amp; Jayant (S3)</t>
  </si>
  <si>
    <t>Gowtham (GS) &amp; Jayant (S3)</t>
  </si>
  <si>
    <t>Harshith &amp; Ranjith</t>
  </si>
  <si>
    <t>Venkatesh, Gowtham &amp; Nandish (S3)</t>
  </si>
  <si>
    <t>Venkatesh &amp; Nandish (S3)</t>
  </si>
  <si>
    <t>Abhishek, Goutham &amp; Anil</t>
  </si>
  <si>
    <t>Madhan &amp; Shashank</t>
  </si>
  <si>
    <t>(Flexible – based on client Schedule)</t>
  </si>
  <si>
    <t>Sep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</si>
</sst>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1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trike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sz val="12"/>
      <color rgb="FFFF0000"/>
      <name val="Calibri"/>
      <family val="2"/>
    </font>
    <font>
      <sz val="10"/>
      <name val="Calibri"/>
      <family val="2"/>
      <scheme val="minor"/>
    </font>
    <font>
      <strike/>
      <sz val="12"/>
      <color rgb="FFFF0000"/>
      <name val="Calibri"/>
      <family val="2"/>
    </font>
    <font>
      <sz val="11"/>
      <name val="Calibri"/>
      <family val="2"/>
    </font>
    <font>
      <strike/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2" fillId="3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14" fontId="2" fillId="4" borderId="11" xfId="0" applyNumberFormat="1" applyFont="1" applyFill="1" applyBorder="1" applyAlignment="1">
      <alignment horizontal="center" vertical="center"/>
    </xf>
    <xf numFmtId="14" fontId="2" fillId="3" borderId="5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4" fontId="2" fillId="4" borderId="14" xfId="0" applyNumberFormat="1" applyFont="1" applyFill="1" applyBorder="1" applyAlignment="1">
      <alignment horizontal="center" vertical="center"/>
    </xf>
    <xf numFmtId="14" fontId="2" fillId="4" borderId="5" xfId="0" applyNumberFormat="1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49" fontId="12" fillId="0" borderId="24" xfId="0" applyNumberFormat="1" applyFont="1" applyBorder="1" applyAlignment="1">
      <alignment horizontal="left" vertical="center"/>
    </xf>
    <xf numFmtId="0" fontId="12" fillId="0" borderId="25" xfId="0" applyFont="1" applyBorder="1" applyAlignment="1">
      <alignment horizontal="center" vertical="center"/>
    </xf>
    <xf numFmtId="49" fontId="12" fillId="0" borderId="27" xfId="0" applyNumberFormat="1" applyFont="1" applyBorder="1" applyAlignment="1">
      <alignment horizontal="center" vertical="center"/>
    </xf>
    <xf numFmtId="49" fontId="12" fillId="0" borderId="22" xfId="0" applyNumberFormat="1" applyFont="1" applyBorder="1" applyAlignment="1">
      <alignment horizontal="left" vertical="center"/>
    </xf>
    <xf numFmtId="49" fontId="12" fillId="0" borderId="23" xfId="0" applyNumberFormat="1" applyFont="1" applyBorder="1" applyAlignment="1">
      <alignment horizontal="center" vertical="center"/>
    </xf>
    <xf numFmtId="0" fontId="12" fillId="0" borderId="30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left" vertical="center"/>
    </xf>
    <xf numFmtId="0" fontId="12" fillId="0" borderId="31" xfId="0" applyFont="1" applyBorder="1" applyAlignment="1">
      <alignment horizontal="left" vertical="center"/>
    </xf>
    <xf numFmtId="0" fontId="12" fillId="0" borderId="15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12" fillId="0" borderId="32" xfId="0" applyFont="1" applyBorder="1" applyAlignment="1">
      <alignment horizontal="left" vertical="center"/>
    </xf>
    <xf numFmtId="0" fontId="7" fillId="0" borderId="16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1" fillId="6" borderId="13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left" vertical="center"/>
    </xf>
    <xf numFmtId="0" fontId="15" fillId="0" borderId="13" xfId="0" applyFont="1" applyBorder="1" applyAlignment="1">
      <alignment horizontal="center" vertical="center"/>
    </xf>
    <xf numFmtId="0" fontId="7" fillId="5" borderId="21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14" fontId="2" fillId="3" borderId="3" xfId="0" applyNumberFormat="1" applyFont="1" applyFill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5" borderId="15" xfId="0" applyFill="1" applyBorder="1" applyAlignment="1">
      <alignment horizontal="left" vertical="center"/>
    </xf>
    <xf numFmtId="0" fontId="0" fillId="5" borderId="15" xfId="0" applyFill="1" applyBorder="1" applyAlignment="1">
      <alignment vertical="center"/>
    </xf>
    <xf numFmtId="0" fontId="15" fillId="6" borderId="13" xfId="0" applyFont="1" applyFill="1" applyBorder="1" applyAlignment="1">
      <alignment horizontal="center" vertical="center"/>
    </xf>
    <xf numFmtId="0" fontId="11" fillId="6" borderId="13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/>
    </xf>
    <xf numFmtId="164" fontId="2" fillId="4" borderId="14" xfId="0" applyNumberFormat="1" applyFont="1" applyFill="1" applyBorder="1" applyAlignment="1">
      <alignment horizontal="center" vertical="center"/>
    </xf>
    <xf numFmtId="164" fontId="2" fillId="4" borderId="5" xfId="0" applyNumberFormat="1" applyFont="1" applyFill="1" applyBorder="1" applyAlignment="1">
      <alignment horizontal="center" vertical="center"/>
    </xf>
    <xf numFmtId="164" fontId="2" fillId="4" borderId="11" xfId="0" applyNumberFormat="1" applyFont="1" applyFill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 wrapText="1"/>
    </xf>
    <xf numFmtId="0" fontId="16" fillId="5" borderId="21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164" fontId="2" fillId="3" borderId="3" xfId="0" applyNumberFormat="1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49" fontId="13" fillId="0" borderId="2" xfId="0" applyNumberFormat="1" applyFont="1" applyBorder="1" applyAlignment="1">
      <alignment horizontal="center" vertical="center" wrapText="1"/>
    </xf>
    <xf numFmtId="49" fontId="13" fillId="0" borderId="18" xfId="0" applyNumberFormat="1" applyFont="1" applyBorder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 wrapText="1"/>
    </xf>
    <xf numFmtId="49" fontId="13" fillId="0" borderId="19" xfId="0" applyNumberFormat="1" applyFont="1" applyBorder="1" applyAlignment="1">
      <alignment horizontal="center" vertical="center" wrapText="1"/>
    </xf>
    <xf numFmtId="49" fontId="13" fillId="0" borderId="9" xfId="0" applyNumberFormat="1" applyFont="1" applyBorder="1" applyAlignment="1">
      <alignment horizontal="center" vertical="center" wrapText="1"/>
    </xf>
    <xf numFmtId="49" fontId="13" fillId="0" borderId="10" xfId="0" applyNumberFormat="1" applyFont="1" applyBorder="1" applyAlignment="1">
      <alignment horizontal="center" vertical="center" wrapText="1"/>
    </xf>
    <xf numFmtId="49" fontId="13" fillId="0" borderId="20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7" fillId="0" borderId="2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49" fontId="3" fillId="0" borderId="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B83D4-A2E2-4A4F-8A3D-C7A4C1635A7A}">
  <dimension ref="A1:X210"/>
  <sheetViews>
    <sheetView showGridLines="0" topLeftCell="A8" zoomScale="90" zoomScaleNormal="90" workbookViewId="0">
      <selection activeCell="I24" sqref="I24"/>
    </sheetView>
  </sheetViews>
  <sheetFormatPr defaultRowHeight="15" x14ac:dyDescent="0.25"/>
  <cols>
    <col min="1" max="1" width="3.7109375" style="5" customWidth="1"/>
    <col min="2" max="2" width="15.7109375" style="34" customWidth="1"/>
    <col min="3" max="3" width="18.7109375" style="34" customWidth="1"/>
    <col min="4" max="4" width="33.5703125" style="34" bestFit="1" customWidth="1"/>
    <col min="5" max="8" width="30.7109375" style="34" customWidth="1"/>
    <col min="9" max="9" width="18.7109375" style="34" customWidth="1"/>
    <col min="10" max="10" width="3.7109375" style="5" customWidth="1"/>
    <col min="11" max="22" width="9.140625" style="6"/>
    <col min="23" max="23" width="9.5703125" style="34" bestFit="1" customWidth="1"/>
    <col min="24" max="24" width="10.140625" style="34" bestFit="1" customWidth="1"/>
    <col min="25" max="16384" width="9.140625" style="34"/>
  </cols>
  <sheetData>
    <row r="1" spans="2:24" s="5" customFormat="1" ht="18" customHeight="1" thickBot="1" x14ac:dyDescent="0.3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2:24" ht="12" customHeight="1" x14ac:dyDescent="0.25">
      <c r="B2" s="94" t="s">
        <v>19</v>
      </c>
      <c r="C2" s="95"/>
      <c r="D2" s="95"/>
      <c r="E2" s="96"/>
      <c r="F2" s="100" t="s">
        <v>35</v>
      </c>
      <c r="G2" s="11" t="s">
        <v>17</v>
      </c>
      <c r="H2" s="12" cm="1">
        <f t="array" ref="H2">SUM(LEN(C17:I60)-LEN(SUBSTITUTE(C17:I60,"Venkatesh","")))/LEN("Venkatesh")</f>
        <v>10</v>
      </c>
      <c r="I2" s="13" t="s">
        <v>0</v>
      </c>
    </row>
    <row r="3" spans="2:24" ht="12" customHeight="1" x14ac:dyDescent="0.25">
      <c r="B3" s="97"/>
      <c r="C3" s="98"/>
      <c r="D3" s="98"/>
      <c r="E3" s="99"/>
      <c r="F3" s="101"/>
      <c r="G3" s="14" t="s">
        <v>18</v>
      </c>
      <c r="H3" s="21" cm="1">
        <f t="array" ref="H3">SUM(LEN(C17:I60)-LEN(SUBSTITUTE(C17:I60,"Rakesh","")))/LEN("Rakesh")</f>
        <v>5</v>
      </c>
      <c r="I3" s="15" t="s">
        <v>0</v>
      </c>
      <c r="W3" s="105" t="s">
        <v>50</v>
      </c>
      <c r="X3" s="105"/>
    </row>
    <row r="4" spans="2:24" ht="12" customHeight="1" x14ac:dyDescent="0.25">
      <c r="B4" s="97"/>
      <c r="C4" s="98"/>
      <c r="D4" s="98"/>
      <c r="E4" s="99"/>
      <c r="F4" s="101"/>
      <c r="G4" s="14" t="s">
        <v>22</v>
      </c>
      <c r="H4" s="20" cm="1">
        <f t="array" ref="H4">SUM(LEN(C17:I60)-LEN(SUBSTITUTE(C17:I60,"Prasanna","")))/LEN("Prasanna")</f>
        <v>10</v>
      </c>
      <c r="I4" s="15" t="s">
        <v>16</v>
      </c>
      <c r="W4" s="41" t="s">
        <v>27</v>
      </c>
      <c r="X4" s="42" t="s">
        <v>48</v>
      </c>
    </row>
    <row r="5" spans="2:24" ht="12" customHeight="1" x14ac:dyDescent="0.25">
      <c r="B5" s="97"/>
      <c r="C5" s="98"/>
      <c r="D5" s="98"/>
      <c r="E5" s="99"/>
      <c r="F5" s="101"/>
      <c r="G5" s="16" t="s">
        <v>23</v>
      </c>
      <c r="H5" s="20" cm="1">
        <f t="array" ref="H5">SUM(LEN(C17:I60)-LEN(SUBSTITUTE(C17:I60,"Prashant","")))/LEN("Prashant")</f>
        <v>10</v>
      </c>
      <c r="I5" s="15" t="s">
        <v>15</v>
      </c>
      <c r="W5" s="41" t="s">
        <v>26</v>
      </c>
      <c r="X5" s="42" t="s">
        <v>47</v>
      </c>
    </row>
    <row r="6" spans="2:24" ht="12" customHeight="1" x14ac:dyDescent="0.25">
      <c r="B6" s="97" t="s">
        <v>55</v>
      </c>
      <c r="C6" s="98"/>
      <c r="D6" s="98"/>
      <c r="E6" s="99"/>
      <c r="F6" s="101"/>
      <c r="G6" s="18" t="s">
        <v>24</v>
      </c>
      <c r="H6" s="20" cm="1">
        <f t="array" ref="H6">SUM(LEN(C17:I60)-LEN(SUBSTITUTE(C17:I60,"Harshith","")))/LEN("Harshith")</f>
        <v>10</v>
      </c>
      <c r="I6" s="17" t="s">
        <v>0</v>
      </c>
      <c r="W6" s="41" t="s">
        <v>28</v>
      </c>
      <c r="X6" s="42" t="s">
        <v>45</v>
      </c>
    </row>
    <row r="7" spans="2:24" ht="12" customHeight="1" x14ac:dyDescent="0.25">
      <c r="B7" s="97"/>
      <c r="C7" s="98"/>
      <c r="D7" s="98"/>
      <c r="E7" s="99"/>
      <c r="F7" s="101"/>
      <c r="G7" s="16" t="s">
        <v>25</v>
      </c>
      <c r="H7" s="20" cm="1">
        <f t="array" ref="H7">SUM(LEN(C17:I60)-LEN(SUBSTITUTE(C17:I60,"Madhan","")))/LEN("Madhan")</f>
        <v>10</v>
      </c>
      <c r="I7" s="17" t="s">
        <v>0</v>
      </c>
      <c r="W7" s="41" t="s">
        <v>22</v>
      </c>
      <c r="X7" s="42" t="s">
        <v>46</v>
      </c>
    </row>
    <row r="8" spans="2:24" ht="12" customHeight="1" thickBot="1" x14ac:dyDescent="0.3">
      <c r="B8" s="102"/>
      <c r="C8" s="103"/>
      <c r="D8" s="103"/>
      <c r="E8" s="104"/>
      <c r="F8" s="101"/>
      <c r="G8" s="19" t="s">
        <v>27</v>
      </c>
      <c r="H8" s="20" cm="1">
        <f t="array" ref="H8">SUM(LEN(C17:I60)-LEN(SUBSTITUTE(C17:I60,"Nandish","")))/LEN("Nandish")</f>
        <v>10</v>
      </c>
      <c r="I8" s="17" t="s">
        <v>16</v>
      </c>
      <c r="W8" s="41" t="s">
        <v>24</v>
      </c>
      <c r="X8" s="42" t="s">
        <v>44</v>
      </c>
    </row>
    <row r="9" spans="2:24" ht="12" customHeight="1" x14ac:dyDescent="0.25">
      <c r="B9" s="75" t="s">
        <v>36</v>
      </c>
      <c r="C9" s="78" t="s">
        <v>52</v>
      </c>
      <c r="D9" s="79"/>
      <c r="E9" s="80"/>
      <c r="F9" s="101"/>
      <c r="G9" s="16" t="s">
        <v>26</v>
      </c>
      <c r="H9" s="20" cm="1">
        <f t="array" ref="H9">SUM(LEN(C17:I60)-LEN(SUBSTITUTE(C17:I60,"Ranjith","")))/LEN("Ranjith")</f>
        <v>10</v>
      </c>
      <c r="I9" s="17" t="s">
        <v>37</v>
      </c>
      <c r="W9" s="48" t="s">
        <v>26</v>
      </c>
      <c r="X9" s="49" t="s">
        <v>54</v>
      </c>
    </row>
    <row r="10" spans="2:24" ht="12" customHeight="1" x14ac:dyDescent="0.25">
      <c r="B10" s="76"/>
      <c r="C10" s="81"/>
      <c r="D10" s="82"/>
      <c r="E10" s="83"/>
      <c r="F10" s="87">
        <v>23</v>
      </c>
      <c r="G10" s="16" t="s">
        <v>30</v>
      </c>
      <c r="H10" s="20" cm="1">
        <f t="array" ref="H10">SUM(LEN(C17:I60)-LEN(SUBSTITUTE(C17:I60,"Adith","")))/LEN("Adith")</f>
        <v>10</v>
      </c>
      <c r="I10" s="15" t="s">
        <v>0</v>
      </c>
      <c r="W10" s="47" t="s">
        <v>28</v>
      </c>
      <c r="X10" s="47" t="s">
        <v>48</v>
      </c>
    </row>
    <row r="11" spans="2:24" ht="12" customHeight="1" x14ac:dyDescent="0.25">
      <c r="B11" s="76"/>
      <c r="C11" s="81"/>
      <c r="D11" s="82"/>
      <c r="E11" s="83"/>
      <c r="F11" s="87"/>
      <c r="G11" s="19" t="s">
        <v>28</v>
      </c>
      <c r="H11" s="20" cm="1">
        <f t="array" ref="H11">SUM(LEN(C17:I60)-LEN(SUBSTITUTE(C17:I60,"Darshan","")))/LEN("Darshan")</f>
        <v>10</v>
      </c>
      <c r="I11" s="17" t="s">
        <v>32</v>
      </c>
      <c r="W11" s="47" t="s">
        <v>22</v>
      </c>
      <c r="X11" s="47" t="s">
        <v>47</v>
      </c>
    </row>
    <row r="12" spans="2:24" ht="12" customHeight="1" x14ac:dyDescent="0.25">
      <c r="B12" s="76"/>
      <c r="C12" s="81"/>
      <c r="D12" s="82"/>
      <c r="E12" s="83"/>
      <c r="F12" s="87"/>
      <c r="G12" s="16" t="s">
        <v>31</v>
      </c>
      <c r="H12" s="20" cm="1">
        <f t="array" ref="H12">SUM(LEN(C17:I60)-LEN(SUBSTITUTE(C17:I60,"Basavaraj","")))/LEN("Basavaraj")</f>
        <v>10</v>
      </c>
      <c r="I12" s="17" t="s">
        <v>0</v>
      </c>
      <c r="W12" s="47" t="s">
        <v>24</v>
      </c>
      <c r="X12" s="47" t="s">
        <v>45</v>
      </c>
    </row>
    <row r="13" spans="2:24" ht="12" customHeight="1" x14ac:dyDescent="0.25">
      <c r="B13" s="76"/>
      <c r="C13" s="81"/>
      <c r="D13" s="82"/>
      <c r="E13" s="83"/>
      <c r="F13" s="87"/>
      <c r="G13" s="38" t="s">
        <v>38</v>
      </c>
      <c r="H13" s="20" cm="1">
        <f t="array" ref="H13">SUM(LEN(C17:I60)-LEN(SUBSTITUTE(C17:I60,"Gowtham","")))/LEN("Gowtham")</f>
        <v>10</v>
      </c>
      <c r="I13" s="17" t="s">
        <v>0</v>
      </c>
    </row>
    <row r="14" spans="2:24" ht="12" customHeight="1" x14ac:dyDescent="0.25">
      <c r="B14" s="76"/>
      <c r="C14" s="81"/>
      <c r="D14" s="82"/>
      <c r="E14" s="83"/>
      <c r="F14" s="87"/>
      <c r="G14" s="38" t="s">
        <v>39</v>
      </c>
      <c r="H14" s="20" cm="1">
        <f t="array" ref="H14">SUM(LEN(C17:I60)-LEN(SUBSTITUTE(C17:I60,"Jayant","")))/LEN("Jayant")</f>
        <v>10</v>
      </c>
      <c r="I14" s="17" t="s">
        <v>0</v>
      </c>
    </row>
    <row r="15" spans="2:24" ht="12" customHeight="1" thickBot="1" x14ac:dyDescent="0.3">
      <c r="B15" s="77"/>
      <c r="C15" s="84"/>
      <c r="D15" s="85"/>
      <c r="E15" s="86"/>
      <c r="F15" s="88"/>
      <c r="G15" s="27" t="s">
        <v>53</v>
      </c>
      <c r="H15" s="20" cm="1">
        <f t="array" ref="H15">SUM(LEN(C17:I60)-LEN(SUBSTITUTE(C17:I60,"Subeesh","")))/LEN("Subeesh")</f>
        <v>10</v>
      </c>
      <c r="I15" s="17"/>
    </row>
    <row r="16" spans="2:24" ht="3" customHeight="1" thickBot="1" x14ac:dyDescent="0.3">
      <c r="B16" s="68"/>
      <c r="C16" s="73"/>
      <c r="D16" s="73"/>
      <c r="E16" s="73"/>
      <c r="F16" s="73"/>
      <c r="G16" s="73"/>
      <c r="H16" s="73"/>
      <c r="I16" s="74"/>
    </row>
    <row r="17" spans="2:22" s="5" customFormat="1" ht="15.75" thickBot="1" x14ac:dyDescent="0.3">
      <c r="B17" s="71" t="s">
        <v>14</v>
      </c>
      <c r="C17" s="1" t="s">
        <v>1</v>
      </c>
      <c r="D17" s="9" t="s">
        <v>2</v>
      </c>
      <c r="E17" s="2" t="s">
        <v>3</v>
      </c>
      <c r="F17" s="25" t="s">
        <v>4</v>
      </c>
      <c r="G17" s="2" t="s">
        <v>5</v>
      </c>
      <c r="H17" s="2" t="s">
        <v>6</v>
      </c>
      <c r="I17" s="1" t="s">
        <v>7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2:22" s="5" customFormat="1" ht="15.75" thickBot="1" x14ac:dyDescent="0.3">
      <c r="B18" s="72"/>
      <c r="C18" s="4">
        <v>45900</v>
      </c>
      <c r="D18" s="7">
        <f t="shared" ref="D18:F18" si="0">C18+1</f>
        <v>45901</v>
      </c>
      <c r="E18" s="8">
        <f t="shared" si="0"/>
        <v>45902</v>
      </c>
      <c r="F18" s="7">
        <f t="shared" si="0"/>
        <v>45903</v>
      </c>
      <c r="G18" s="8">
        <f>F18+1</f>
        <v>45904</v>
      </c>
      <c r="H18" s="3">
        <f t="shared" ref="H18:I18" si="1">G18+1</f>
        <v>45905</v>
      </c>
      <c r="I18" s="4">
        <f t="shared" si="1"/>
        <v>45906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2:22" s="5" customFormat="1" ht="21" customHeight="1" x14ac:dyDescent="0.25">
      <c r="B19" s="24" t="s">
        <v>8</v>
      </c>
      <c r="C19" s="37" t="s">
        <v>24</v>
      </c>
      <c r="D19" s="30" t="s">
        <v>24</v>
      </c>
      <c r="E19" s="30" t="s">
        <v>24</v>
      </c>
      <c r="F19" s="30" t="s">
        <v>24</v>
      </c>
      <c r="G19" s="30" t="s">
        <v>28</v>
      </c>
      <c r="H19" s="30" t="s">
        <v>28</v>
      </c>
      <c r="I19" s="37" t="s">
        <v>28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spans="2:22" s="5" customFormat="1" ht="21" customHeight="1" x14ac:dyDescent="0.25">
      <c r="B20" s="24" t="s">
        <v>21</v>
      </c>
      <c r="C20" s="26"/>
      <c r="D20" s="35" t="s">
        <v>40</v>
      </c>
      <c r="E20" s="35" t="s">
        <v>40</v>
      </c>
      <c r="F20" s="35" t="s">
        <v>40</v>
      </c>
      <c r="G20" s="35" t="s">
        <v>40</v>
      </c>
      <c r="H20" s="35" t="s">
        <v>40</v>
      </c>
      <c r="I20" s="2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spans="2:22" s="5" customFormat="1" ht="21" customHeight="1" x14ac:dyDescent="0.25">
      <c r="B21" s="22" t="s">
        <v>29</v>
      </c>
      <c r="C21" s="32"/>
      <c r="D21" s="50" t="s">
        <v>57</v>
      </c>
      <c r="E21" s="50" t="s">
        <v>58</v>
      </c>
      <c r="F21" s="50" t="s">
        <v>58</v>
      </c>
      <c r="G21" s="50" t="s">
        <v>58</v>
      </c>
      <c r="H21" s="36" t="s">
        <v>59</v>
      </c>
      <c r="I21" s="30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spans="2:22" s="5" customFormat="1" ht="21" customHeight="1" x14ac:dyDescent="0.25">
      <c r="B22" s="10" t="s">
        <v>9</v>
      </c>
      <c r="C22" s="26" t="s">
        <v>28</v>
      </c>
      <c r="D22" s="46" t="s">
        <v>41</v>
      </c>
      <c r="E22" s="39" t="s">
        <v>41</v>
      </c>
      <c r="F22" s="39" t="s">
        <v>41</v>
      </c>
      <c r="G22" s="39" t="s">
        <v>41</v>
      </c>
      <c r="H22" s="39" t="s">
        <v>41</v>
      </c>
      <c r="I22" s="26" t="s">
        <v>22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spans="2:22" s="5" customFormat="1" ht="21" customHeight="1" x14ac:dyDescent="0.25">
      <c r="B23" s="10" t="s">
        <v>20</v>
      </c>
      <c r="C23" s="26"/>
      <c r="D23" s="29" t="s">
        <v>34</v>
      </c>
      <c r="E23" s="29" t="s">
        <v>34</v>
      </c>
      <c r="F23" s="29" t="s">
        <v>34</v>
      </c>
      <c r="G23" s="29" t="s">
        <v>34</v>
      </c>
      <c r="H23" s="29" t="s">
        <v>34</v>
      </c>
      <c r="I23" s="2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spans="2:22" s="5" customFormat="1" ht="21" customHeight="1" thickBot="1" x14ac:dyDescent="0.3">
      <c r="B24" s="23" t="s">
        <v>13</v>
      </c>
      <c r="C24" s="30" t="s">
        <v>26</v>
      </c>
      <c r="D24" s="28" t="s">
        <v>49</v>
      </c>
      <c r="E24" s="28" t="s">
        <v>49</v>
      </c>
      <c r="F24" s="28" t="s">
        <v>49</v>
      </c>
      <c r="G24" s="28" t="s">
        <v>51</v>
      </c>
      <c r="H24" s="28" t="s">
        <v>42</v>
      </c>
      <c r="I24" s="30" t="s">
        <v>26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2:22" s="5" customFormat="1" ht="3" customHeight="1" thickBot="1" x14ac:dyDescent="0.3">
      <c r="B25" s="68"/>
      <c r="C25" s="73"/>
      <c r="D25" s="73"/>
      <c r="E25" s="73"/>
      <c r="F25" s="73"/>
      <c r="G25" s="73"/>
      <c r="H25" s="73"/>
      <c r="I25" s="74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spans="2:22" s="5" customFormat="1" ht="15.75" thickBot="1" x14ac:dyDescent="0.3">
      <c r="B26" s="71" t="s">
        <v>10</v>
      </c>
      <c r="C26" s="1" t="s">
        <v>1</v>
      </c>
      <c r="D26" s="9" t="s">
        <v>2</v>
      </c>
      <c r="E26" s="2" t="s">
        <v>3</v>
      </c>
      <c r="F26" s="25" t="s">
        <v>4</v>
      </c>
      <c r="G26" s="2" t="s">
        <v>5</v>
      </c>
      <c r="H26" s="2" t="s">
        <v>6</v>
      </c>
      <c r="I26" s="1" t="s">
        <v>7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spans="2:22" s="5" customFormat="1" ht="15.75" thickBot="1" x14ac:dyDescent="0.3">
      <c r="B27" s="72"/>
      <c r="C27" s="4">
        <f>I18+1</f>
        <v>45907</v>
      </c>
      <c r="D27" s="7">
        <f t="shared" ref="D27:F27" si="2">C27+1</f>
        <v>45908</v>
      </c>
      <c r="E27" s="8">
        <f t="shared" si="2"/>
        <v>45909</v>
      </c>
      <c r="F27" s="7">
        <f t="shared" si="2"/>
        <v>45910</v>
      </c>
      <c r="G27" s="8">
        <f>F27+1</f>
        <v>45911</v>
      </c>
      <c r="H27" s="3">
        <f t="shared" ref="H27:I27" si="3">G27+1</f>
        <v>45912</v>
      </c>
      <c r="I27" s="4">
        <f t="shared" si="3"/>
        <v>45913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spans="2:22" s="5" customFormat="1" ht="21" customHeight="1" x14ac:dyDescent="0.25">
      <c r="B28" s="24" t="s">
        <v>8</v>
      </c>
      <c r="C28" s="37" t="s">
        <v>26</v>
      </c>
      <c r="D28" s="30" t="s">
        <v>26</v>
      </c>
      <c r="E28" s="30" t="s">
        <v>24</v>
      </c>
      <c r="F28" s="30" t="s">
        <v>24</v>
      </c>
      <c r="G28" s="30" t="s">
        <v>24</v>
      </c>
      <c r="H28" s="30" t="s">
        <v>24</v>
      </c>
      <c r="I28" s="37" t="s">
        <v>26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spans="2:22" s="5" customFormat="1" ht="21" customHeight="1" x14ac:dyDescent="0.25">
      <c r="B29" s="24" t="s">
        <v>21</v>
      </c>
      <c r="C29" s="26"/>
      <c r="D29" s="35" t="s">
        <v>38</v>
      </c>
      <c r="E29" s="35" t="s">
        <v>38</v>
      </c>
      <c r="F29" s="35" t="s">
        <v>38</v>
      </c>
      <c r="G29" s="35" t="s">
        <v>38</v>
      </c>
      <c r="H29" s="35" t="s">
        <v>38</v>
      </c>
      <c r="I29" s="2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spans="2:22" s="5" customFormat="1" ht="21" customHeight="1" x14ac:dyDescent="0.25">
      <c r="B30" s="22" t="s">
        <v>29</v>
      </c>
      <c r="C30" s="32" t="s">
        <v>22</v>
      </c>
      <c r="D30" s="51" t="s">
        <v>58</v>
      </c>
      <c r="E30" s="35" t="s">
        <v>60</v>
      </c>
      <c r="F30" s="35" t="s">
        <v>60</v>
      </c>
      <c r="G30" s="51" t="s">
        <v>58</v>
      </c>
      <c r="H30" s="36" t="s">
        <v>59</v>
      </c>
      <c r="I30" s="30" t="s">
        <v>22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spans="2:22" s="5" customFormat="1" ht="21" customHeight="1" x14ac:dyDescent="0.25">
      <c r="B31" s="10" t="s">
        <v>9</v>
      </c>
      <c r="C31" s="26"/>
      <c r="D31" s="46" t="s">
        <v>41</v>
      </c>
      <c r="E31" s="39" t="s">
        <v>41</v>
      </c>
      <c r="F31" s="39" t="s">
        <v>41</v>
      </c>
      <c r="G31" s="39" t="s">
        <v>41</v>
      </c>
      <c r="H31" s="39" t="s">
        <v>41</v>
      </c>
      <c r="I31" s="2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2:22" s="5" customFormat="1" ht="21" customHeight="1" x14ac:dyDescent="0.25">
      <c r="B32" s="10" t="s">
        <v>20</v>
      </c>
      <c r="C32" s="26"/>
      <c r="D32" s="29" t="s">
        <v>34</v>
      </c>
      <c r="E32" s="29" t="s">
        <v>34</v>
      </c>
      <c r="F32" s="29" t="s">
        <v>34</v>
      </c>
      <c r="G32" s="29" t="s">
        <v>34</v>
      </c>
      <c r="H32" s="29" t="s">
        <v>34</v>
      </c>
      <c r="I32" s="2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2:22" s="5" customFormat="1" ht="21" customHeight="1" thickBot="1" x14ac:dyDescent="0.3">
      <c r="B33" s="23" t="s">
        <v>13</v>
      </c>
      <c r="C33" s="30" t="s">
        <v>28</v>
      </c>
      <c r="D33" s="28" t="s">
        <v>56</v>
      </c>
      <c r="E33" s="28" t="s">
        <v>56</v>
      </c>
      <c r="F33" s="28" t="s">
        <v>56</v>
      </c>
      <c r="G33" s="28" t="s">
        <v>56</v>
      </c>
      <c r="H33" s="28" t="s">
        <v>42</v>
      </c>
      <c r="I33" s="30" t="s">
        <v>24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spans="2:22" s="5" customFormat="1" ht="3" customHeight="1" thickBot="1" x14ac:dyDescent="0.3">
      <c r="B34" s="68"/>
      <c r="C34" s="73"/>
      <c r="D34" s="73"/>
      <c r="E34" s="73"/>
      <c r="F34" s="73"/>
      <c r="G34" s="73"/>
      <c r="H34" s="73"/>
      <c r="I34" s="74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spans="2:22" s="5" customFormat="1" ht="15.75" thickBot="1" x14ac:dyDescent="0.3">
      <c r="B35" s="71" t="s">
        <v>11</v>
      </c>
      <c r="C35" s="1" t="s">
        <v>1</v>
      </c>
      <c r="D35" s="9" t="s">
        <v>2</v>
      </c>
      <c r="E35" s="2" t="s">
        <v>3</v>
      </c>
      <c r="F35" s="25" t="s">
        <v>4</v>
      </c>
      <c r="G35" s="2" t="s">
        <v>5</v>
      </c>
      <c r="H35" s="2" t="s">
        <v>6</v>
      </c>
      <c r="I35" s="1" t="s">
        <v>7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spans="2:22" s="5" customFormat="1" ht="15.75" thickBot="1" x14ac:dyDescent="0.3">
      <c r="B36" s="72"/>
      <c r="C36" s="4">
        <f>I27+1</f>
        <v>45914</v>
      </c>
      <c r="D36" s="7">
        <f t="shared" ref="D36:F36" si="4">C36+1</f>
        <v>45915</v>
      </c>
      <c r="E36" s="8">
        <f t="shared" si="4"/>
        <v>45916</v>
      </c>
      <c r="F36" s="7">
        <f t="shared" si="4"/>
        <v>45917</v>
      </c>
      <c r="G36" s="8">
        <f>F36+1</f>
        <v>45918</v>
      </c>
      <c r="H36" s="3">
        <f t="shared" ref="H36:I36" si="5">G36+1</f>
        <v>45919</v>
      </c>
      <c r="I36" s="4">
        <f t="shared" si="5"/>
        <v>45920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spans="2:22" s="5" customFormat="1" ht="21" customHeight="1" x14ac:dyDescent="0.25">
      <c r="B37" s="24" t="s">
        <v>8</v>
      </c>
      <c r="C37" s="37"/>
      <c r="D37" s="30"/>
      <c r="E37" s="30"/>
      <c r="F37" s="30"/>
      <c r="G37" s="30"/>
      <c r="H37" s="30"/>
      <c r="I37" s="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spans="2:22" s="5" customFormat="1" ht="21" customHeight="1" x14ac:dyDescent="0.25">
      <c r="B38" s="24" t="s">
        <v>21</v>
      </c>
      <c r="C38" s="26"/>
      <c r="D38" s="35"/>
      <c r="E38" s="35"/>
      <c r="F38" s="35"/>
      <c r="G38" s="35"/>
      <c r="H38" s="35"/>
      <c r="I38" s="2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spans="2:22" s="5" customFormat="1" ht="21" customHeight="1" x14ac:dyDescent="0.25">
      <c r="B39" s="22" t="s">
        <v>29</v>
      </c>
      <c r="C39" s="32"/>
      <c r="D39" s="35"/>
      <c r="E39" s="35"/>
      <c r="F39" s="35"/>
      <c r="G39" s="35"/>
      <c r="H39" s="36"/>
      <c r="I39" s="30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spans="2:22" s="5" customFormat="1" ht="21" customHeight="1" x14ac:dyDescent="0.25">
      <c r="B40" s="10" t="s">
        <v>9</v>
      </c>
      <c r="C40" s="26"/>
      <c r="D40" s="46"/>
      <c r="E40" s="39"/>
      <c r="F40" s="39"/>
      <c r="G40" s="39"/>
      <c r="H40" s="39"/>
      <c r="I40" s="2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2:22" s="5" customFormat="1" ht="21" customHeight="1" x14ac:dyDescent="0.25">
      <c r="B41" s="10" t="s">
        <v>20</v>
      </c>
      <c r="C41" s="26"/>
      <c r="D41" s="29"/>
      <c r="E41" s="29"/>
      <c r="F41" s="29"/>
      <c r="G41" s="29"/>
      <c r="H41" s="29"/>
      <c r="I41" s="2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2:22" s="5" customFormat="1" ht="21" customHeight="1" thickBot="1" x14ac:dyDescent="0.3">
      <c r="B42" s="23" t="s">
        <v>13</v>
      </c>
      <c r="C42" s="30"/>
      <c r="D42" s="28"/>
      <c r="E42" s="28"/>
      <c r="F42" s="28"/>
      <c r="G42" s="28"/>
      <c r="H42" s="28"/>
      <c r="I42" s="30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2:22" s="5" customFormat="1" ht="3" customHeight="1" thickBot="1" x14ac:dyDescent="0.3">
      <c r="B43" s="68"/>
      <c r="C43" s="73"/>
      <c r="D43" s="73"/>
      <c r="E43" s="73"/>
      <c r="F43" s="73"/>
      <c r="G43" s="73"/>
      <c r="H43" s="73"/>
      <c r="I43" s="74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2:22" s="5" customFormat="1" ht="15.75" thickBot="1" x14ac:dyDescent="0.3">
      <c r="B44" s="71" t="s">
        <v>12</v>
      </c>
      <c r="C44" s="1" t="s">
        <v>1</v>
      </c>
      <c r="D44" s="9" t="s">
        <v>2</v>
      </c>
      <c r="E44" s="2" t="s">
        <v>3</v>
      </c>
      <c r="F44" s="25" t="s">
        <v>4</v>
      </c>
      <c r="G44" s="2" t="s">
        <v>5</v>
      </c>
      <c r="H44" s="2" t="s">
        <v>6</v>
      </c>
      <c r="I44" s="1" t="s">
        <v>7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2:22" s="5" customFormat="1" ht="15.75" thickBot="1" x14ac:dyDescent="0.3">
      <c r="B45" s="72"/>
      <c r="C45" s="45">
        <f>I36+1</f>
        <v>45921</v>
      </c>
      <c r="D45" s="7">
        <f t="shared" ref="D45:F45" si="6">C45+1</f>
        <v>45922</v>
      </c>
      <c r="E45" s="8">
        <f t="shared" si="6"/>
        <v>45923</v>
      </c>
      <c r="F45" s="7">
        <f t="shared" si="6"/>
        <v>45924</v>
      </c>
      <c r="G45" s="8">
        <f>F45+1</f>
        <v>45925</v>
      </c>
      <c r="H45" s="3">
        <f t="shared" ref="H45:I45" si="7">G45+1</f>
        <v>45926</v>
      </c>
      <c r="I45" s="4">
        <f t="shared" si="7"/>
        <v>45927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2:22" s="5" customFormat="1" ht="21" customHeight="1" x14ac:dyDescent="0.25">
      <c r="B46" s="43" t="s">
        <v>8</v>
      </c>
      <c r="C46" s="37"/>
      <c r="D46" s="30"/>
      <c r="E46" s="30"/>
      <c r="F46" s="30"/>
      <c r="G46" s="30"/>
      <c r="H46" s="30"/>
      <c r="I46" s="37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2:22" s="5" customFormat="1" ht="21" customHeight="1" x14ac:dyDescent="0.25">
      <c r="B47" s="43" t="s">
        <v>21</v>
      </c>
      <c r="C47" s="26"/>
      <c r="D47" s="35"/>
      <c r="E47" s="35"/>
      <c r="F47" s="35"/>
      <c r="G47" s="35"/>
      <c r="H47" s="35"/>
      <c r="I47" s="2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2:22" s="5" customFormat="1" ht="21" customHeight="1" x14ac:dyDescent="0.25">
      <c r="B48" s="44" t="s">
        <v>29</v>
      </c>
      <c r="C48" s="32"/>
      <c r="D48" s="35"/>
      <c r="E48" s="35"/>
      <c r="F48" s="35"/>
      <c r="G48" s="35"/>
      <c r="H48" s="36"/>
      <c r="I48" s="30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2:22" s="5" customFormat="1" ht="21" customHeight="1" x14ac:dyDescent="0.25">
      <c r="B49" s="10" t="s">
        <v>9</v>
      </c>
      <c r="C49" s="26"/>
      <c r="D49" s="46"/>
      <c r="E49" s="39"/>
      <c r="F49" s="39"/>
      <c r="G49" s="39"/>
      <c r="H49" s="39"/>
      <c r="I49" s="2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2:22" s="5" customFormat="1" ht="21" customHeight="1" x14ac:dyDescent="0.25">
      <c r="B50" s="10" t="s">
        <v>20</v>
      </c>
      <c r="C50" s="26"/>
      <c r="D50" s="29"/>
      <c r="E50" s="29"/>
      <c r="F50" s="29"/>
      <c r="G50" s="29"/>
      <c r="H50" s="29"/>
      <c r="I50" s="2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2:22" s="5" customFormat="1" ht="21" customHeight="1" thickBot="1" x14ac:dyDescent="0.3">
      <c r="B51" s="23" t="s">
        <v>13</v>
      </c>
      <c r="C51" s="30"/>
      <c r="D51" s="28"/>
      <c r="E51" s="28"/>
      <c r="F51" s="28"/>
      <c r="G51" s="28"/>
      <c r="H51" s="28"/>
      <c r="I51" s="30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  <row r="52" spans="2:22" s="5" customFormat="1" ht="3" customHeight="1" thickBot="1" x14ac:dyDescent="0.3">
      <c r="B52" s="68"/>
      <c r="C52" s="73"/>
      <c r="D52" s="73"/>
      <c r="E52" s="73"/>
      <c r="F52" s="73"/>
      <c r="G52" s="73"/>
      <c r="H52" s="73"/>
      <c r="I52" s="74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spans="2:22" s="5" customFormat="1" ht="15.75" thickBot="1" x14ac:dyDescent="0.3">
      <c r="B53" s="71" t="s">
        <v>43</v>
      </c>
      <c r="C53" s="1" t="s">
        <v>1</v>
      </c>
      <c r="D53" s="9" t="s">
        <v>2</v>
      </c>
      <c r="E53" s="2" t="s">
        <v>3</v>
      </c>
      <c r="F53" s="25" t="s">
        <v>4</v>
      </c>
      <c r="G53" s="2" t="s">
        <v>5</v>
      </c>
      <c r="H53" s="2" t="s">
        <v>6</v>
      </c>
      <c r="I53" s="1" t="s">
        <v>7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</row>
    <row r="54" spans="2:22" s="5" customFormat="1" ht="15.75" thickBot="1" x14ac:dyDescent="0.3">
      <c r="B54" s="72"/>
      <c r="C54" s="4">
        <f>I45+1</f>
        <v>45928</v>
      </c>
      <c r="D54" s="7">
        <f t="shared" ref="D54:F54" si="8">C54+1</f>
        <v>45929</v>
      </c>
      <c r="E54" s="8">
        <f t="shared" si="8"/>
        <v>45930</v>
      </c>
      <c r="F54" s="7">
        <f t="shared" si="8"/>
        <v>45931</v>
      </c>
      <c r="G54" s="8">
        <f>F54+1</f>
        <v>45932</v>
      </c>
      <c r="H54" s="3">
        <f t="shared" ref="H54:I54" si="9">G54+1</f>
        <v>45933</v>
      </c>
      <c r="I54" s="4">
        <f t="shared" si="9"/>
        <v>45934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 spans="2:22" s="5" customFormat="1" ht="21" customHeight="1" x14ac:dyDescent="0.25">
      <c r="B55" s="24" t="s">
        <v>8</v>
      </c>
      <c r="C55" s="37"/>
      <c r="D55" s="30"/>
      <c r="E55" s="30"/>
      <c r="F55" s="30"/>
      <c r="G55" s="30"/>
      <c r="H55" s="30"/>
      <c r="I55" s="37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</row>
    <row r="56" spans="2:22" s="5" customFormat="1" ht="21" customHeight="1" x14ac:dyDescent="0.25">
      <c r="B56" s="24" t="s">
        <v>21</v>
      </c>
      <c r="C56" s="26"/>
      <c r="D56" s="35"/>
      <c r="E56" s="35"/>
      <c r="F56" s="35"/>
      <c r="G56" s="35"/>
      <c r="H56" s="35"/>
      <c r="I56" s="2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 spans="2:22" s="5" customFormat="1" ht="21" customHeight="1" x14ac:dyDescent="0.25">
      <c r="B57" s="22" t="s">
        <v>29</v>
      </c>
      <c r="C57" s="32"/>
      <c r="D57" s="35"/>
      <c r="E57" s="35"/>
      <c r="F57" s="35"/>
      <c r="G57" s="35"/>
      <c r="H57" s="36"/>
      <c r="I57" s="30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</row>
    <row r="58" spans="2:22" s="5" customFormat="1" ht="21" customHeight="1" x14ac:dyDescent="0.25">
      <c r="B58" s="10" t="s">
        <v>9</v>
      </c>
      <c r="C58" s="26"/>
      <c r="D58" s="46"/>
      <c r="E58" s="39"/>
      <c r="F58" s="39"/>
      <c r="G58" s="39"/>
      <c r="H58" s="39"/>
      <c r="I58" s="2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r="59" spans="2:22" s="5" customFormat="1" ht="21" customHeight="1" x14ac:dyDescent="0.25">
      <c r="B59" s="10" t="s">
        <v>20</v>
      </c>
      <c r="C59" s="26"/>
      <c r="D59" s="29"/>
      <c r="E59" s="29"/>
      <c r="F59" s="29"/>
      <c r="G59" s="29"/>
      <c r="H59" s="29"/>
      <c r="I59" s="2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</row>
    <row r="60" spans="2:22" s="5" customFormat="1" ht="21" customHeight="1" thickBot="1" x14ac:dyDescent="0.3">
      <c r="B60" s="23" t="s">
        <v>13</v>
      </c>
      <c r="C60" s="30"/>
      <c r="D60" s="28"/>
      <c r="E60" s="28"/>
      <c r="F60" s="28"/>
      <c r="G60" s="28"/>
      <c r="H60" s="28"/>
      <c r="I60" s="30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 spans="2:22" s="5" customFormat="1" ht="3" customHeight="1" thickBot="1" x14ac:dyDescent="0.3">
      <c r="B61" s="68"/>
      <c r="C61" s="73"/>
      <c r="D61" s="73"/>
      <c r="E61" s="73"/>
      <c r="F61" s="73"/>
      <c r="G61" s="73"/>
      <c r="H61" s="73"/>
      <c r="I61" s="74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 spans="2:22" ht="18" customHeight="1" x14ac:dyDescent="0.25"/>
    <row r="63" spans="2:22" ht="18" customHeight="1" x14ac:dyDescent="0.25"/>
    <row r="64" spans="2:22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  <row r="93" ht="18" customHeight="1" x14ac:dyDescent="0.25"/>
    <row r="94" ht="18" customHeight="1" x14ac:dyDescent="0.25"/>
    <row r="95" ht="18" customHeight="1" x14ac:dyDescent="0.25"/>
    <row r="96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</sheetData>
  <mergeCells count="18">
    <mergeCell ref="B43:I43"/>
    <mergeCell ref="B44:B45"/>
    <mergeCell ref="B52:I52"/>
    <mergeCell ref="B53:B54"/>
    <mergeCell ref="B61:I61"/>
    <mergeCell ref="B35:B36"/>
    <mergeCell ref="B2:E5"/>
    <mergeCell ref="F2:F9"/>
    <mergeCell ref="W3:X3"/>
    <mergeCell ref="B6:E8"/>
    <mergeCell ref="B9:B15"/>
    <mergeCell ref="C9:E15"/>
    <mergeCell ref="F10:F15"/>
    <mergeCell ref="B16:I16"/>
    <mergeCell ref="B17:B18"/>
    <mergeCell ref="B25:I25"/>
    <mergeCell ref="B26:B27"/>
    <mergeCell ref="B34:I3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03289-48D0-4945-B46D-C11582B002EF}">
  <dimension ref="A1:W212"/>
  <sheetViews>
    <sheetView showGridLines="0" tabSelected="1" topLeftCell="B1" zoomScale="90" zoomScaleNormal="90" workbookViewId="0">
      <selection activeCell="B6" sqref="B6:E8"/>
    </sheetView>
  </sheetViews>
  <sheetFormatPr defaultRowHeight="15" x14ac:dyDescent="0.25"/>
  <cols>
    <col min="1" max="1" width="3.7109375" style="5" customWidth="1"/>
    <col min="2" max="2" width="15.7109375" style="34" customWidth="1"/>
    <col min="3" max="3" width="18.7109375" style="34" customWidth="1"/>
    <col min="4" max="4" width="35.28515625" style="34" bestFit="1" customWidth="1"/>
    <col min="5" max="5" width="37.140625" style="34" bestFit="1" customWidth="1"/>
    <col min="6" max="7" width="38.7109375" style="34" bestFit="1" customWidth="1"/>
    <col min="8" max="8" width="37.140625" style="34" bestFit="1" customWidth="1"/>
    <col min="9" max="9" width="18.7109375" style="34" customWidth="1"/>
    <col min="10" max="10" width="3.7109375" style="5" customWidth="1"/>
    <col min="11" max="23" width="9.140625" style="6"/>
    <col min="24" max="16384" width="9.140625" style="34"/>
  </cols>
  <sheetData>
    <row r="1" spans="2:23" s="5" customFormat="1" ht="18" customHeight="1" thickBot="1" x14ac:dyDescent="0.3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2:23" ht="12" customHeight="1" x14ac:dyDescent="0.25">
      <c r="B2" s="94" t="s">
        <v>19</v>
      </c>
      <c r="C2" s="95"/>
      <c r="D2" s="95"/>
      <c r="E2" s="96"/>
      <c r="F2" s="100" t="s">
        <v>35</v>
      </c>
      <c r="G2" s="11" t="s">
        <v>17</v>
      </c>
      <c r="H2" s="12" cm="1">
        <f t="array" ref="H2">SUM(LEN($C$17:$I$65)-LEN(SUBSTITUTE($C$17:$I$65,"Venkatesh","")))/LEN("Venkatesh")</f>
        <v>5</v>
      </c>
      <c r="I2" s="13" t="s">
        <v>0</v>
      </c>
    </row>
    <row r="3" spans="2:23" ht="12" customHeight="1" x14ac:dyDescent="0.25">
      <c r="B3" s="97"/>
      <c r="C3" s="98"/>
      <c r="D3" s="98"/>
      <c r="E3" s="99"/>
      <c r="F3" s="101"/>
      <c r="G3" s="14" t="s">
        <v>22</v>
      </c>
      <c r="H3" s="21" cm="1">
        <f t="array" ref="H3">SUM(LEN($C$17:$I$65)-LEN(SUBSTITUTE($C$17:$I$65,"Prasanna","")))/LEN("Prasanna")</f>
        <v>4</v>
      </c>
      <c r="I3" s="15" t="s">
        <v>16</v>
      </c>
    </row>
    <row r="4" spans="2:23" ht="12" customHeight="1" x14ac:dyDescent="0.25">
      <c r="B4" s="97"/>
      <c r="C4" s="98"/>
      <c r="D4" s="98"/>
      <c r="E4" s="99"/>
      <c r="F4" s="101"/>
      <c r="G4" s="14" t="s">
        <v>24</v>
      </c>
      <c r="H4" s="21" cm="1">
        <f t="array" ref="H4">SUM(LEN($C$17:$I$65)-LEN(SUBSTITUTE($C$17:$I$65,"Harshith","")))/LEN("Harshith")</f>
        <v>5</v>
      </c>
      <c r="I4" s="15" t="s">
        <v>0</v>
      </c>
    </row>
    <row r="5" spans="2:23" ht="12" customHeight="1" x14ac:dyDescent="0.25">
      <c r="B5" s="97"/>
      <c r="C5" s="98"/>
      <c r="D5" s="98"/>
      <c r="E5" s="99"/>
      <c r="F5" s="101"/>
      <c r="G5" s="16" t="s">
        <v>27</v>
      </c>
      <c r="H5" s="21" cm="1">
        <f t="array" ref="H5">SUM(LEN($C$17:$I$65)-LEN(SUBSTITUTE($C$17:$I$65,"Nandish","")))/LEN("Nandish")</f>
        <v>5</v>
      </c>
      <c r="I5" s="15" t="s">
        <v>0</v>
      </c>
    </row>
    <row r="6" spans="2:23" ht="12" customHeight="1" x14ac:dyDescent="0.25">
      <c r="B6" s="97" t="s">
        <v>111</v>
      </c>
      <c r="C6" s="98"/>
      <c r="D6" s="98"/>
      <c r="E6" s="99"/>
      <c r="F6" s="101"/>
      <c r="G6" s="18" t="s">
        <v>26</v>
      </c>
      <c r="H6" s="21" cm="1">
        <f t="array" ref="H6">SUM(LEN($C$17:$I$65)-LEN(SUBSTITUTE($C$17:$I$65,"Ranjith","")))/LEN("Ranjith")</f>
        <v>5</v>
      </c>
      <c r="I6" s="17" t="s">
        <v>0</v>
      </c>
    </row>
    <row r="7" spans="2:23" ht="12" customHeight="1" x14ac:dyDescent="0.25">
      <c r="B7" s="97"/>
      <c r="C7" s="98"/>
      <c r="D7" s="98"/>
      <c r="E7" s="99"/>
      <c r="F7" s="101"/>
      <c r="G7" s="16" t="s">
        <v>30</v>
      </c>
      <c r="H7" s="21" cm="1">
        <f t="array" ref="H7">SUM(LEN($C$17:$I$65)-LEN(SUBSTITUTE($C$17:$I$65,"Adith","")))/LEN("Adith")</f>
        <v>1</v>
      </c>
      <c r="I7" s="17" t="s">
        <v>0</v>
      </c>
    </row>
    <row r="8" spans="2:23" ht="12" customHeight="1" thickBot="1" x14ac:dyDescent="0.3">
      <c r="B8" s="102"/>
      <c r="C8" s="103"/>
      <c r="D8" s="103"/>
      <c r="E8" s="104"/>
      <c r="F8" s="101"/>
      <c r="G8" s="19" t="s">
        <v>28</v>
      </c>
      <c r="H8" s="21" cm="1">
        <f t="array" ref="H8">SUM(LEN($C$17:$I$65)-LEN(SUBSTITUTE($C$17:$I$65,"Darshan","")))/LEN("Darshan")</f>
        <v>0</v>
      </c>
      <c r="I8" s="17" t="s">
        <v>79</v>
      </c>
    </row>
    <row r="9" spans="2:23" ht="12" customHeight="1" x14ac:dyDescent="0.25">
      <c r="B9" s="75" t="s">
        <v>36</v>
      </c>
      <c r="C9" s="78" t="s">
        <v>98</v>
      </c>
      <c r="D9" s="79"/>
      <c r="E9" s="80"/>
      <c r="F9" s="101"/>
      <c r="G9" s="16" t="s">
        <v>31</v>
      </c>
      <c r="H9" s="21" cm="1">
        <f t="array" ref="H9">SUM(LEN($C$17:$I$65)-LEN(SUBSTITUTE($C$17:$I$65,"Basavaraj","")))/LEN("Basavaraj")</f>
        <v>0</v>
      </c>
      <c r="I9" s="17" t="s">
        <v>15</v>
      </c>
    </row>
    <row r="10" spans="2:23" ht="12" customHeight="1" x14ac:dyDescent="0.25">
      <c r="B10" s="76"/>
      <c r="C10" s="81"/>
      <c r="D10" s="82"/>
      <c r="E10" s="83"/>
      <c r="F10" s="87">
        <v>21</v>
      </c>
      <c r="G10" s="16" t="s">
        <v>38</v>
      </c>
      <c r="H10" s="21" cm="1">
        <f t="array" ref="H10">SUM(LEN($C$17:$I$65)-LEN(SUBSTITUTE($C$17:$I$65,"Gowtham","")))/LEN("Gowtham")</f>
        <v>5</v>
      </c>
      <c r="I10" s="15" t="s">
        <v>80</v>
      </c>
    </row>
    <row r="11" spans="2:23" ht="12" customHeight="1" x14ac:dyDescent="0.25">
      <c r="B11" s="76"/>
      <c r="C11" s="81"/>
      <c r="D11" s="82"/>
      <c r="E11" s="83"/>
      <c r="F11" s="87"/>
      <c r="G11" s="19" t="s">
        <v>39</v>
      </c>
      <c r="H11" s="21" cm="1">
        <f t="array" ref="H11">SUM(LEN($C$17:$I$65)-LEN(SUBSTITUTE($C$17:$I$65,"Jayant","")))/LEN("Jayant")</f>
        <v>5</v>
      </c>
      <c r="I11" s="17" t="s">
        <v>0</v>
      </c>
    </row>
    <row r="12" spans="2:23" ht="12" customHeight="1" x14ac:dyDescent="0.25">
      <c r="B12" s="76"/>
      <c r="C12" s="81"/>
      <c r="D12" s="82"/>
      <c r="E12" s="83"/>
      <c r="F12" s="87"/>
      <c r="G12" s="16" t="s">
        <v>72</v>
      </c>
      <c r="H12" s="21" cm="1">
        <f t="array" ref="H12">SUM(LEN($C$17:$I$65)-LEN(SUBSTITUTE($C$17:$I$65,"Prajwal","")))/LEN("Prajwal")</f>
        <v>5</v>
      </c>
      <c r="I12" s="17" t="s">
        <v>0</v>
      </c>
    </row>
    <row r="13" spans="2:23" ht="12" customHeight="1" x14ac:dyDescent="0.25">
      <c r="B13" s="76"/>
      <c r="C13" s="81"/>
      <c r="D13" s="82"/>
      <c r="E13" s="83"/>
      <c r="F13" s="87"/>
      <c r="G13" s="38" t="s">
        <v>97</v>
      </c>
      <c r="H13" s="21" cm="1">
        <f t="array" ref="H13">SUM(LEN($C$17:$I$65)-LEN(SUBSTITUTE($C$17:$I$65,"Shashank","")))/LEN("Shashank")</f>
        <v>5</v>
      </c>
      <c r="I13" s="17" t="s">
        <v>0</v>
      </c>
    </row>
    <row r="14" spans="2:23" ht="12" customHeight="1" x14ac:dyDescent="0.25">
      <c r="B14" s="76"/>
      <c r="C14" s="81"/>
      <c r="D14" s="82"/>
      <c r="E14" s="83"/>
      <c r="F14" s="87"/>
      <c r="G14" s="38" t="s">
        <v>99</v>
      </c>
      <c r="H14" s="21" cm="1">
        <f t="array" ref="H14">SUM(LEN($C$17:$I$65)-LEN(SUBSTITUTE($C$17:$I$65,"Dhananjay","")))/LEN("Dhananjay")</f>
        <v>0</v>
      </c>
      <c r="I14" s="17" t="s">
        <v>0</v>
      </c>
    </row>
    <row r="15" spans="2:23" ht="12" customHeight="1" thickBot="1" x14ac:dyDescent="0.3">
      <c r="B15" s="77"/>
      <c r="C15" s="84"/>
      <c r="D15" s="85"/>
      <c r="E15" s="86"/>
      <c r="F15" s="88"/>
      <c r="G15" s="27"/>
      <c r="H15" s="20"/>
      <c r="I15" s="17"/>
    </row>
    <row r="16" spans="2:23" ht="3" customHeight="1" thickBot="1" x14ac:dyDescent="0.3">
      <c r="B16" s="68"/>
      <c r="C16" s="73"/>
      <c r="D16" s="73"/>
      <c r="E16" s="73"/>
      <c r="F16" s="73"/>
      <c r="G16" s="73"/>
      <c r="H16" s="73"/>
      <c r="I16" s="74"/>
    </row>
    <row r="17" spans="2:23" s="5" customFormat="1" ht="15.75" thickBot="1" x14ac:dyDescent="0.3">
      <c r="B17" s="71" t="s">
        <v>81</v>
      </c>
      <c r="C17" s="1" t="s">
        <v>1</v>
      </c>
      <c r="D17" s="9" t="s">
        <v>2</v>
      </c>
      <c r="E17" s="2" t="s">
        <v>3</v>
      </c>
      <c r="F17" s="25" t="s">
        <v>4</v>
      </c>
      <c r="G17" s="2" t="s">
        <v>5</v>
      </c>
      <c r="H17" s="2" t="s">
        <v>6</v>
      </c>
      <c r="I17" s="1" t="s">
        <v>7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2:23" s="5" customFormat="1" ht="15.75" thickBot="1" x14ac:dyDescent="0.3">
      <c r="B18" s="72"/>
      <c r="C18" s="55">
        <v>46265</v>
      </c>
      <c r="D18" s="56">
        <f t="shared" ref="D18:F18" si="0">C18+1</f>
        <v>46266</v>
      </c>
      <c r="E18" s="57">
        <f t="shared" si="0"/>
        <v>46267</v>
      </c>
      <c r="F18" s="56">
        <f t="shared" si="0"/>
        <v>46268</v>
      </c>
      <c r="G18" s="57">
        <f>F18+1</f>
        <v>46269</v>
      </c>
      <c r="H18" s="58">
        <f t="shared" ref="H18:I18" si="1">G18+1</f>
        <v>46270</v>
      </c>
      <c r="I18" s="55">
        <f t="shared" si="1"/>
        <v>46271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2:23" s="5" customFormat="1" ht="21" customHeight="1" x14ac:dyDescent="0.25">
      <c r="B19" s="24" t="s">
        <v>8</v>
      </c>
      <c r="C19" s="37"/>
      <c r="D19" s="37"/>
      <c r="E19" s="37"/>
      <c r="F19" s="37"/>
      <c r="G19" s="37"/>
      <c r="H19" s="37"/>
      <c r="I19" s="37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2:23" s="5" customFormat="1" ht="21" customHeight="1" x14ac:dyDescent="0.25">
      <c r="B20" s="22" t="s">
        <v>101</v>
      </c>
      <c r="C20" s="30"/>
      <c r="D20" s="36"/>
      <c r="E20" s="36"/>
      <c r="F20" s="36"/>
      <c r="G20" s="36"/>
      <c r="H20" s="36"/>
      <c r="I20" s="30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spans="2:23" s="5" customFormat="1" ht="21" customHeight="1" x14ac:dyDescent="0.25">
      <c r="B21" s="10" t="s">
        <v>9</v>
      </c>
      <c r="C21" s="40"/>
      <c r="D21" s="31"/>
      <c r="E21" s="31"/>
      <c r="F21" s="31"/>
      <c r="G21" s="31"/>
      <c r="H21" s="31"/>
      <c r="I21" s="2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spans="2:23" s="5" customFormat="1" ht="15.75" x14ac:dyDescent="0.25">
      <c r="B22" s="10" t="s">
        <v>100</v>
      </c>
      <c r="C22" s="29"/>
      <c r="D22" s="36"/>
      <c r="E22" s="36"/>
      <c r="F22" s="36"/>
      <c r="G22" s="36"/>
      <c r="H22" s="36"/>
      <c r="I22" s="2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spans="2:23" s="5" customFormat="1" ht="21" customHeight="1" x14ac:dyDescent="0.25">
      <c r="B23" s="10" t="s">
        <v>20</v>
      </c>
      <c r="C23" s="29"/>
      <c r="D23" s="29"/>
      <c r="E23" s="29"/>
      <c r="F23" s="29"/>
      <c r="G23" s="29"/>
      <c r="H23" s="62"/>
      <c r="I23" s="2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spans="2:23" s="5" customFormat="1" ht="21" customHeight="1" thickBot="1" x14ac:dyDescent="0.3">
      <c r="B24" s="23" t="s">
        <v>13</v>
      </c>
      <c r="C24" s="64"/>
      <c r="D24" s="28"/>
      <c r="E24" s="28"/>
      <c r="F24" s="28"/>
      <c r="G24" s="28"/>
      <c r="H24" s="28"/>
      <c r="I24" s="64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spans="2:23" s="5" customFormat="1" ht="3" customHeight="1" thickBot="1" x14ac:dyDescent="0.3">
      <c r="B25" s="68"/>
      <c r="C25" s="73"/>
      <c r="D25" s="73"/>
      <c r="E25" s="73"/>
      <c r="F25" s="73"/>
      <c r="G25" s="73"/>
      <c r="H25" s="73"/>
      <c r="I25" s="74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spans="2:23" s="5" customFormat="1" ht="15.75" thickBot="1" x14ac:dyDescent="0.3">
      <c r="B26" s="71" t="s">
        <v>14</v>
      </c>
      <c r="C26" s="1" t="s">
        <v>1</v>
      </c>
      <c r="D26" s="9" t="s">
        <v>2</v>
      </c>
      <c r="E26" s="2" t="s">
        <v>3</v>
      </c>
      <c r="F26" s="25" t="s">
        <v>4</v>
      </c>
      <c r="G26" s="2" t="s">
        <v>5</v>
      </c>
      <c r="H26" s="2" t="s">
        <v>6</v>
      </c>
      <c r="I26" s="1" t="s">
        <v>7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spans="2:23" s="5" customFormat="1" ht="15.75" thickBot="1" x14ac:dyDescent="0.3">
      <c r="B27" s="72"/>
      <c r="C27" s="55">
        <f>I18+1</f>
        <v>46272</v>
      </c>
      <c r="D27" s="56">
        <f t="shared" ref="D27:F27" si="2">C27+1</f>
        <v>46273</v>
      </c>
      <c r="E27" s="57">
        <f t="shared" si="2"/>
        <v>46274</v>
      </c>
      <c r="F27" s="56">
        <f t="shared" si="2"/>
        <v>46275</v>
      </c>
      <c r="G27" s="57">
        <f>F27+1</f>
        <v>46276</v>
      </c>
      <c r="H27" s="58">
        <f t="shared" ref="H27:I27" si="3">G27+1</f>
        <v>46277</v>
      </c>
      <c r="I27" s="55">
        <f t="shared" si="3"/>
        <v>46278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spans="2:23" s="5" customFormat="1" ht="21" customHeight="1" x14ac:dyDescent="0.25">
      <c r="B28" s="24" t="s">
        <v>8</v>
      </c>
      <c r="C28" s="92"/>
      <c r="D28" s="37"/>
      <c r="E28" s="37"/>
      <c r="F28" s="37"/>
      <c r="G28" s="37"/>
      <c r="H28" s="37"/>
      <c r="I28" s="52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 spans="2:23" s="5" customFormat="1" ht="21" customHeight="1" x14ac:dyDescent="0.25">
      <c r="B29" s="24" t="s">
        <v>21</v>
      </c>
      <c r="C29" s="90"/>
      <c r="D29" s="30"/>
      <c r="E29" s="30"/>
      <c r="F29" s="30"/>
      <c r="G29" s="30"/>
      <c r="H29" s="30"/>
      <c r="I29" s="30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 spans="2:23" s="5" customFormat="1" ht="21" customHeight="1" x14ac:dyDescent="0.25">
      <c r="B30" s="22" t="s">
        <v>101</v>
      </c>
      <c r="C30" s="93"/>
      <c r="D30" s="36"/>
      <c r="E30" s="36"/>
      <c r="F30" s="36"/>
      <c r="G30" s="36"/>
      <c r="H30" s="36"/>
      <c r="I30" s="30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spans="2:23" s="5" customFormat="1" ht="21" customHeight="1" x14ac:dyDescent="0.25">
      <c r="B31" s="10" t="s">
        <v>9</v>
      </c>
      <c r="C31" s="30"/>
      <c r="D31" s="31"/>
      <c r="E31" s="31"/>
      <c r="F31" s="31"/>
      <c r="G31" s="31"/>
      <c r="H31" s="31"/>
      <c r="I31" s="2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 spans="2:23" s="5" customFormat="1" ht="15.75" x14ac:dyDescent="0.25">
      <c r="B32" s="10" t="s">
        <v>100</v>
      </c>
      <c r="C32" s="89"/>
      <c r="D32" s="36"/>
      <c r="E32" s="36"/>
      <c r="F32" s="36"/>
      <c r="G32" s="36"/>
      <c r="H32" s="36"/>
      <c r="I32" s="2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spans="2:23" s="5" customFormat="1" ht="21" customHeight="1" x14ac:dyDescent="0.25">
      <c r="B33" s="10" t="s">
        <v>20</v>
      </c>
      <c r="C33" s="90"/>
      <c r="D33" s="29"/>
      <c r="E33" s="29"/>
      <c r="F33" s="29"/>
      <c r="G33" s="29"/>
      <c r="H33" s="62"/>
      <c r="I33" s="2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 spans="2:23" s="5" customFormat="1" ht="21" customHeight="1" thickBot="1" x14ac:dyDescent="0.3">
      <c r="B34" s="23" t="s">
        <v>13</v>
      </c>
      <c r="C34" s="91"/>
      <c r="D34" s="28"/>
      <c r="E34" s="28"/>
      <c r="F34" s="28"/>
      <c r="G34" s="28"/>
      <c r="H34" s="28"/>
      <c r="I34" s="64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 spans="2:23" s="5" customFormat="1" ht="3" customHeight="1" thickBot="1" x14ac:dyDescent="0.3">
      <c r="B35" s="68"/>
      <c r="C35" s="73"/>
      <c r="D35" s="73"/>
      <c r="E35" s="73"/>
      <c r="F35" s="73"/>
      <c r="G35" s="73"/>
      <c r="H35" s="73"/>
      <c r="I35" s="74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 spans="2:23" s="5" customFormat="1" ht="15.75" thickBot="1" x14ac:dyDescent="0.3">
      <c r="B36" s="71" t="s">
        <v>10</v>
      </c>
      <c r="C36" s="1" t="s">
        <v>1</v>
      </c>
      <c r="D36" s="9" t="s">
        <v>2</v>
      </c>
      <c r="E36" s="2" t="s">
        <v>3</v>
      </c>
      <c r="F36" s="25" t="s">
        <v>4</v>
      </c>
      <c r="G36" s="2" t="s">
        <v>5</v>
      </c>
      <c r="H36" s="2" t="s">
        <v>6</v>
      </c>
      <c r="I36" s="1" t="s">
        <v>7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 spans="2:23" s="5" customFormat="1" ht="15.75" thickBot="1" x14ac:dyDescent="0.3">
      <c r="B37" s="72"/>
      <c r="C37" s="55">
        <f>I27+1</f>
        <v>46279</v>
      </c>
      <c r="D37" s="56">
        <f t="shared" ref="D37:F37" si="4">C37+1</f>
        <v>46280</v>
      </c>
      <c r="E37" s="57">
        <f t="shared" si="4"/>
        <v>46281</v>
      </c>
      <c r="F37" s="56">
        <f t="shared" si="4"/>
        <v>46282</v>
      </c>
      <c r="G37" s="57">
        <f>F37+1</f>
        <v>46283</v>
      </c>
      <c r="H37" s="58">
        <f t="shared" ref="H37:I37" si="5">G37+1</f>
        <v>46284</v>
      </c>
      <c r="I37" s="55">
        <f t="shared" si="5"/>
        <v>46285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 spans="2:23" s="5" customFormat="1" ht="21" customHeight="1" x14ac:dyDescent="0.25">
      <c r="B38" s="24" t="s">
        <v>8</v>
      </c>
      <c r="C38" s="92"/>
      <c r="D38" s="37"/>
      <c r="E38" s="37"/>
      <c r="F38" s="37"/>
      <c r="G38" s="37"/>
      <c r="H38" s="37"/>
      <c r="I38" s="52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spans="2:23" s="5" customFormat="1" ht="21" customHeight="1" x14ac:dyDescent="0.25">
      <c r="B39" s="24"/>
      <c r="C39" s="90"/>
      <c r="D39" s="30"/>
      <c r="E39" s="30"/>
      <c r="F39" s="30"/>
      <c r="G39" s="30"/>
      <c r="H39" s="30"/>
      <c r="I39" s="30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 spans="2:23" s="5" customFormat="1" ht="21" customHeight="1" x14ac:dyDescent="0.25">
      <c r="B40" s="22" t="s">
        <v>101</v>
      </c>
      <c r="C40" s="93"/>
      <c r="D40" s="36"/>
      <c r="E40" s="36"/>
      <c r="F40" s="36"/>
      <c r="G40" s="36"/>
      <c r="H40" s="36"/>
      <c r="I40" s="30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 spans="2:23" s="5" customFormat="1" ht="21" customHeight="1" x14ac:dyDescent="0.25">
      <c r="B41" s="10" t="s">
        <v>9</v>
      </c>
      <c r="C41" s="30"/>
      <c r="D41" s="31"/>
      <c r="E41" s="31"/>
      <c r="F41" s="31"/>
      <c r="G41" s="31"/>
      <c r="H41" s="31"/>
      <c r="I41" s="2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 spans="2:23" s="5" customFormat="1" ht="15.75" x14ac:dyDescent="0.25">
      <c r="B42" s="10" t="s">
        <v>100</v>
      </c>
      <c r="C42" s="89"/>
      <c r="D42" s="36"/>
      <c r="E42" s="36"/>
      <c r="F42" s="36"/>
      <c r="G42" s="36"/>
      <c r="H42" s="36"/>
      <c r="I42" s="2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spans="2:23" s="5" customFormat="1" ht="21" customHeight="1" x14ac:dyDescent="0.25">
      <c r="B43" s="10" t="s">
        <v>20</v>
      </c>
      <c r="C43" s="90"/>
      <c r="D43" s="29"/>
      <c r="E43" s="29"/>
      <c r="F43" s="29"/>
      <c r="G43" s="29"/>
      <c r="H43" s="62"/>
      <c r="I43" s="2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 spans="2:23" s="5" customFormat="1" ht="21" customHeight="1" thickBot="1" x14ac:dyDescent="0.3">
      <c r="B44" s="23" t="s">
        <v>13</v>
      </c>
      <c r="C44" s="91"/>
      <c r="D44" s="28"/>
      <c r="E44" s="28"/>
      <c r="F44" s="28"/>
      <c r="G44" s="28"/>
      <c r="H44" s="28"/>
      <c r="I44" s="64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 spans="2:23" s="5" customFormat="1" ht="3" customHeight="1" thickBot="1" x14ac:dyDescent="0.3">
      <c r="B45" s="68"/>
      <c r="C45" s="73"/>
      <c r="D45" s="73"/>
      <c r="E45" s="73"/>
      <c r="F45" s="73"/>
      <c r="G45" s="73"/>
      <c r="H45" s="73"/>
      <c r="I45" s="74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 spans="2:23" s="5" customFormat="1" ht="15.75" thickBot="1" x14ac:dyDescent="0.3">
      <c r="B46" s="71" t="s">
        <v>11</v>
      </c>
      <c r="C46" s="1" t="s">
        <v>1</v>
      </c>
      <c r="D46" s="9" t="s">
        <v>2</v>
      </c>
      <c r="E46" s="2" t="s">
        <v>3</v>
      </c>
      <c r="F46" s="25" t="s">
        <v>4</v>
      </c>
      <c r="G46" s="2" t="s">
        <v>5</v>
      </c>
      <c r="H46" s="2" t="s">
        <v>6</v>
      </c>
      <c r="I46" s="1" t="s">
        <v>7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 spans="2:23" s="5" customFormat="1" ht="15.75" thickBot="1" x14ac:dyDescent="0.3">
      <c r="B47" s="72"/>
      <c r="C47" s="55">
        <f>I37+1</f>
        <v>46286</v>
      </c>
      <c r="D47" s="56">
        <f t="shared" ref="D47:F47" si="6">C47+1</f>
        <v>46287</v>
      </c>
      <c r="E47" s="57">
        <f t="shared" si="6"/>
        <v>46288</v>
      </c>
      <c r="F47" s="56">
        <f t="shared" si="6"/>
        <v>46289</v>
      </c>
      <c r="G47" s="57">
        <f>F47+1</f>
        <v>46290</v>
      </c>
      <c r="H47" s="58">
        <f t="shared" ref="H47:I47" si="7">G47+1</f>
        <v>46291</v>
      </c>
      <c r="I47" s="63">
        <f t="shared" si="7"/>
        <v>46292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 spans="2:23" s="5" customFormat="1" ht="21" customHeight="1" x14ac:dyDescent="0.25">
      <c r="B48" s="24" t="s">
        <v>8</v>
      </c>
      <c r="C48" s="66" t="s">
        <v>72</v>
      </c>
      <c r="D48" s="66" t="s">
        <v>22</v>
      </c>
      <c r="E48" s="66" t="s">
        <v>22</v>
      </c>
      <c r="F48" s="66" t="s">
        <v>22</v>
      </c>
      <c r="G48" s="66" t="s">
        <v>22</v>
      </c>
      <c r="H48" s="66" t="s">
        <v>26</v>
      </c>
      <c r="I48" s="66" t="s">
        <v>72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 spans="2:23" s="5" customFormat="1" ht="21" customHeight="1" x14ac:dyDescent="0.25">
      <c r="B49" s="24" t="s">
        <v>21</v>
      </c>
      <c r="C49" s="26"/>
      <c r="D49" s="67" t="s">
        <v>103</v>
      </c>
      <c r="E49" s="67" t="s">
        <v>103</v>
      </c>
      <c r="F49" s="67" t="s">
        <v>104</v>
      </c>
      <c r="G49" s="67" t="s">
        <v>104</v>
      </c>
      <c r="H49" s="67" t="s">
        <v>103</v>
      </c>
      <c r="I49" s="67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 spans="2:23" s="5" customFormat="1" ht="21" customHeight="1" x14ac:dyDescent="0.25">
      <c r="B50" s="22" t="s">
        <v>101</v>
      </c>
      <c r="C50" s="67"/>
      <c r="D50" s="32" t="s">
        <v>105</v>
      </c>
      <c r="E50" s="32" t="s">
        <v>105</v>
      </c>
      <c r="F50" s="32" t="s">
        <v>24</v>
      </c>
      <c r="G50" s="32" t="s">
        <v>24</v>
      </c>
      <c r="H50" s="32" t="s">
        <v>24</v>
      </c>
      <c r="I50" s="67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 spans="2:23" s="5" customFormat="1" ht="21" customHeight="1" x14ac:dyDescent="0.25">
      <c r="B51" s="10" t="s">
        <v>9</v>
      </c>
      <c r="C51" s="67" t="s">
        <v>26</v>
      </c>
      <c r="D51" s="31" t="s">
        <v>102</v>
      </c>
      <c r="E51" s="31" t="s">
        <v>106</v>
      </c>
      <c r="F51" s="31" t="s">
        <v>107</v>
      </c>
      <c r="G51" s="31" t="s">
        <v>107</v>
      </c>
      <c r="H51" s="67" t="s">
        <v>106</v>
      </c>
      <c r="I51" s="67" t="s">
        <v>26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 spans="2:23" s="5" customFormat="1" ht="15.75" x14ac:dyDescent="0.25">
      <c r="B52" s="10" t="s">
        <v>100</v>
      </c>
      <c r="C52" s="26"/>
      <c r="D52" s="36" t="s">
        <v>108</v>
      </c>
      <c r="E52" s="36" t="s">
        <v>108</v>
      </c>
      <c r="F52" s="36" t="s">
        <v>108</v>
      </c>
      <c r="G52" s="36" t="s">
        <v>108</v>
      </c>
      <c r="H52" s="67" t="s">
        <v>108</v>
      </c>
      <c r="I52" s="67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 spans="2:23" s="5" customFormat="1" ht="21" customHeight="1" x14ac:dyDescent="0.25">
      <c r="B53" s="10" t="s">
        <v>20</v>
      </c>
      <c r="C53" s="26"/>
      <c r="D53" s="29" t="s">
        <v>109</v>
      </c>
      <c r="E53" s="29" t="s">
        <v>109</v>
      </c>
      <c r="F53" s="29" t="s">
        <v>109</v>
      </c>
      <c r="G53" s="29" t="s">
        <v>109</v>
      </c>
      <c r="H53" s="67" t="s">
        <v>109</v>
      </c>
      <c r="I53" s="67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 spans="2:23" s="5" customFormat="1" ht="21" customHeight="1" thickBot="1" x14ac:dyDescent="0.3">
      <c r="B54" s="23" t="s">
        <v>13</v>
      </c>
      <c r="C54" s="65" t="s">
        <v>30</v>
      </c>
      <c r="D54" s="33" t="s">
        <v>110</v>
      </c>
      <c r="E54" s="33" t="s">
        <v>110</v>
      </c>
      <c r="F54" s="33" t="s">
        <v>110</v>
      </c>
      <c r="G54" s="33" t="s">
        <v>110</v>
      </c>
      <c r="H54" s="67" t="s">
        <v>110</v>
      </c>
      <c r="I54" s="67" t="s">
        <v>27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 spans="2:23" s="5" customFormat="1" ht="3" customHeight="1" thickBot="1" x14ac:dyDescent="0.3">
      <c r="B55" s="68"/>
      <c r="C55" s="69"/>
      <c r="D55" s="69"/>
      <c r="E55" s="69"/>
      <c r="F55" s="69"/>
      <c r="G55" s="69"/>
      <c r="H55" s="69"/>
      <c r="I55" s="70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 spans="2:23" s="5" customFormat="1" ht="15.75" thickBot="1" x14ac:dyDescent="0.3">
      <c r="B56" s="71" t="s">
        <v>12</v>
      </c>
      <c r="C56" s="1" t="s">
        <v>1</v>
      </c>
      <c r="D56" s="9" t="s">
        <v>2</v>
      </c>
      <c r="E56" s="2" t="s">
        <v>3</v>
      </c>
      <c r="F56" s="25" t="s">
        <v>4</v>
      </c>
      <c r="G56" s="2" t="s">
        <v>5</v>
      </c>
      <c r="H56" s="2" t="s">
        <v>6</v>
      </c>
      <c r="I56" s="1" t="s">
        <v>7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 spans="2:23" s="5" customFormat="1" ht="15.75" thickBot="1" x14ac:dyDescent="0.3">
      <c r="B57" s="72"/>
      <c r="C57" s="55">
        <f>I47+1</f>
        <v>46293</v>
      </c>
      <c r="D57" s="56">
        <f t="shared" ref="D57:F57" si="8">C57+1</f>
        <v>46294</v>
      </c>
      <c r="E57" s="57">
        <f t="shared" si="8"/>
        <v>46295</v>
      </c>
      <c r="F57" s="56">
        <f t="shared" si="8"/>
        <v>46296</v>
      </c>
      <c r="G57" s="57">
        <f>F57+1</f>
        <v>46297</v>
      </c>
      <c r="H57" s="58">
        <f t="shared" ref="H57:I57" si="9">G57+1</f>
        <v>46298</v>
      </c>
      <c r="I57" s="55">
        <f t="shared" si="9"/>
        <v>46299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 spans="2:23" s="5" customFormat="1" ht="21" customHeight="1" x14ac:dyDescent="0.25">
      <c r="B58" s="24" t="s">
        <v>8</v>
      </c>
      <c r="C58" s="66"/>
      <c r="D58" s="66"/>
      <c r="E58" s="66"/>
      <c r="F58" s="66"/>
      <c r="G58" s="66"/>
      <c r="H58" s="66"/>
      <c r="I58" s="6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 spans="2:23" s="5" customFormat="1" ht="21" customHeight="1" x14ac:dyDescent="0.25">
      <c r="B59" s="24" t="s">
        <v>21</v>
      </c>
      <c r="C59" s="26"/>
      <c r="D59" s="67"/>
      <c r="E59" s="67"/>
      <c r="F59" s="67"/>
      <c r="G59" s="67"/>
      <c r="H59" s="67"/>
      <c r="I59" s="67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 spans="2:23" s="5" customFormat="1" ht="21" customHeight="1" x14ac:dyDescent="0.25">
      <c r="B60" s="22" t="s">
        <v>101</v>
      </c>
      <c r="C60" s="67"/>
      <c r="D60" s="32"/>
      <c r="E60" s="32"/>
      <c r="F60" s="32"/>
      <c r="G60" s="32"/>
      <c r="H60" s="32"/>
      <c r="I60" s="67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 spans="2:23" s="5" customFormat="1" ht="21" customHeight="1" x14ac:dyDescent="0.25">
      <c r="B61" s="10" t="s">
        <v>9</v>
      </c>
      <c r="C61" s="67"/>
      <c r="D61" s="31"/>
      <c r="E61" s="31"/>
      <c r="F61" s="31"/>
      <c r="G61" s="31"/>
      <c r="H61" s="67"/>
      <c r="I61" s="67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 spans="2:23" s="5" customFormat="1" ht="15.75" x14ac:dyDescent="0.25">
      <c r="B62" s="10" t="s">
        <v>100</v>
      </c>
      <c r="C62" s="26"/>
      <c r="D62" s="36"/>
      <c r="E62" s="36"/>
      <c r="F62" s="36"/>
      <c r="G62" s="36"/>
      <c r="H62" s="67"/>
      <c r="I62" s="67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 spans="2:23" s="5" customFormat="1" ht="21" customHeight="1" x14ac:dyDescent="0.25">
      <c r="B63" s="10" t="s">
        <v>20</v>
      </c>
      <c r="C63" s="26"/>
      <c r="D63" s="29"/>
      <c r="E63" s="29"/>
      <c r="F63" s="29"/>
      <c r="G63" s="29"/>
      <c r="H63" s="67"/>
      <c r="I63" s="67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 spans="2:23" s="5" customFormat="1" ht="21" customHeight="1" thickBot="1" x14ac:dyDescent="0.3">
      <c r="B64" s="23" t="s">
        <v>13</v>
      </c>
      <c r="C64" s="65"/>
      <c r="D64" s="33"/>
      <c r="E64" s="33"/>
      <c r="F64" s="33"/>
      <c r="G64" s="33"/>
      <c r="H64" s="67"/>
      <c r="I64" s="67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 spans="2:23" s="5" customFormat="1" ht="3" customHeight="1" thickBot="1" x14ac:dyDescent="0.3">
      <c r="B65" s="68"/>
      <c r="C65" s="73"/>
      <c r="D65" s="73"/>
      <c r="E65" s="73"/>
      <c r="F65" s="73"/>
      <c r="G65" s="73"/>
      <c r="H65" s="73"/>
      <c r="I65" s="74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 spans="2:23" ht="18" customHeight="1" x14ac:dyDescent="0.25"/>
    <row r="67" spans="2:23" ht="18" customHeight="1" x14ac:dyDescent="0.25"/>
    <row r="68" spans="2:23" ht="18" customHeight="1" x14ac:dyDescent="0.25"/>
    <row r="69" spans="2:23" ht="18" customHeight="1" x14ac:dyDescent="0.25"/>
    <row r="70" spans="2:23" ht="18" customHeight="1" x14ac:dyDescent="0.25"/>
    <row r="71" spans="2:23" ht="18" customHeight="1" x14ac:dyDescent="0.25"/>
    <row r="72" spans="2:23" ht="18" customHeight="1" x14ac:dyDescent="0.25"/>
    <row r="73" spans="2:23" ht="18" customHeight="1" x14ac:dyDescent="0.25"/>
    <row r="74" spans="2:23" s="5" customFormat="1" ht="18" customHeight="1" x14ac:dyDescent="0.25">
      <c r="B74" s="34"/>
      <c r="C74" s="34"/>
      <c r="D74" s="34"/>
      <c r="E74" s="34"/>
      <c r="F74" s="34"/>
      <c r="G74" s="34"/>
      <c r="H74" s="34"/>
      <c r="I74" s="34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 spans="2:23" s="5" customFormat="1" ht="18" customHeight="1" x14ac:dyDescent="0.25">
      <c r="B75" s="34"/>
      <c r="C75" s="34"/>
      <c r="D75" s="34"/>
      <c r="E75" s="34"/>
      <c r="F75" s="34"/>
      <c r="G75" s="34"/>
      <c r="H75" s="34"/>
      <c r="I75" s="34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 spans="2:23" s="5" customFormat="1" ht="18" customHeight="1" x14ac:dyDescent="0.25">
      <c r="B76" s="34"/>
      <c r="C76" s="34"/>
      <c r="D76" s="34"/>
      <c r="E76" s="34"/>
      <c r="F76" s="34"/>
      <c r="G76" s="34"/>
      <c r="H76" s="34"/>
      <c r="I76" s="3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</row>
    <row r="77" spans="2:23" s="5" customFormat="1" ht="18" customHeight="1" x14ac:dyDescent="0.25">
      <c r="B77" s="34"/>
      <c r="C77" s="34"/>
      <c r="D77" s="34"/>
      <c r="E77" s="34"/>
      <c r="F77" s="34"/>
      <c r="G77" s="34"/>
      <c r="H77" s="34"/>
      <c r="I77" s="34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 spans="2:23" s="5" customFormat="1" ht="18" customHeight="1" x14ac:dyDescent="0.25">
      <c r="B78" s="34"/>
      <c r="C78" s="34"/>
      <c r="D78" s="34"/>
      <c r="E78" s="34"/>
      <c r="F78" s="34"/>
      <c r="G78" s="34"/>
      <c r="H78" s="34"/>
      <c r="I78" s="34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 spans="2:23" s="5" customFormat="1" ht="18" customHeight="1" x14ac:dyDescent="0.25">
      <c r="B79" s="34"/>
      <c r="C79" s="34"/>
      <c r="D79" s="34"/>
      <c r="E79" s="34"/>
      <c r="F79" s="34"/>
      <c r="G79" s="34"/>
      <c r="H79" s="34"/>
      <c r="I79" s="34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 spans="2:23" s="5" customFormat="1" ht="18" customHeight="1" x14ac:dyDescent="0.25">
      <c r="B80" s="34"/>
      <c r="C80" s="34"/>
      <c r="D80" s="34"/>
      <c r="E80" s="34"/>
      <c r="F80" s="34"/>
      <c r="G80" s="34"/>
      <c r="H80" s="34"/>
      <c r="I80" s="34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 spans="2:23" s="5" customFormat="1" ht="18" customHeight="1" x14ac:dyDescent="0.25">
      <c r="B81" s="34"/>
      <c r="C81" s="34"/>
      <c r="D81" s="34"/>
      <c r="E81" s="34"/>
      <c r="F81" s="34"/>
      <c r="G81" s="34"/>
      <c r="H81" s="34"/>
      <c r="I81" s="34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 spans="2:23" s="5" customFormat="1" ht="18" customHeight="1" x14ac:dyDescent="0.25">
      <c r="B82" s="34"/>
      <c r="C82" s="34"/>
      <c r="D82" s="34"/>
      <c r="E82" s="34"/>
      <c r="F82" s="34"/>
      <c r="G82" s="34"/>
      <c r="H82" s="34"/>
      <c r="I82" s="34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 spans="2:23" s="5" customFormat="1" ht="18" customHeight="1" x14ac:dyDescent="0.25">
      <c r="B83" s="34"/>
      <c r="C83" s="34"/>
      <c r="D83" s="34"/>
      <c r="E83" s="34"/>
      <c r="F83" s="34"/>
      <c r="G83" s="34"/>
      <c r="H83" s="34"/>
      <c r="I83" s="34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</row>
    <row r="84" spans="2:23" s="5" customFormat="1" ht="18" customHeight="1" x14ac:dyDescent="0.25">
      <c r="B84" s="34"/>
      <c r="C84" s="34"/>
      <c r="D84" s="34"/>
      <c r="E84" s="34"/>
      <c r="F84" s="34"/>
      <c r="G84" s="34"/>
      <c r="H84" s="34"/>
      <c r="I84" s="34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</row>
    <row r="85" spans="2:23" s="5" customFormat="1" ht="18" customHeight="1" x14ac:dyDescent="0.25">
      <c r="B85" s="34"/>
      <c r="C85" s="34"/>
      <c r="D85" s="34"/>
      <c r="E85" s="34"/>
      <c r="F85" s="34"/>
      <c r="G85" s="34"/>
      <c r="H85" s="34"/>
      <c r="I85" s="34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</row>
    <row r="86" spans="2:23" s="5" customFormat="1" ht="18" customHeight="1" x14ac:dyDescent="0.25">
      <c r="B86" s="34"/>
      <c r="C86" s="34"/>
      <c r="D86" s="34"/>
      <c r="E86" s="34"/>
      <c r="F86" s="34"/>
      <c r="G86" s="34"/>
      <c r="H86" s="34"/>
      <c r="I86" s="34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</row>
    <row r="87" spans="2:23" s="5" customFormat="1" ht="18" customHeight="1" x14ac:dyDescent="0.25">
      <c r="B87" s="34"/>
      <c r="C87" s="34"/>
      <c r="D87" s="34"/>
      <c r="E87" s="34"/>
      <c r="F87" s="34"/>
      <c r="G87" s="34"/>
      <c r="H87" s="34"/>
      <c r="I87" s="34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</row>
    <row r="88" spans="2:23" s="5" customFormat="1" ht="18" customHeight="1" x14ac:dyDescent="0.25">
      <c r="B88" s="34"/>
      <c r="C88" s="34"/>
      <c r="D88" s="34"/>
      <c r="E88" s="34"/>
      <c r="F88" s="34"/>
      <c r="G88" s="34"/>
      <c r="H88" s="34"/>
      <c r="I88" s="34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</row>
    <row r="89" spans="2:23" s="5" customFormat="1" ht="18" customHeight="1" x14ac:dyDescent="0.25">
      <c r="B89" s="34"/>
      <c r="C89" s="34"/>
      <c r="D89" s="34"/>
      <c r="E89" s="34"/>
      <c r="F89" s="34"/>
      <c r="G89" s="34"/>
      <c r="H89" s="34"/>
      <c r="I89" s="34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</row>
    <row r="90" spans="2:23" s="5" customFormat="1" ht="18" customHeight="1" x14ac:dyDescent="0.25">
      <c r="B90" s="34"/>
      <c r="C90" s="34"/>
      <c r="D90" s="34"/>
      <c r="E90" s="34"/>
      <c r="F90" s="34"/>
      <c r="G90" s="34"/>
      <c r="H90" s="34"/>
      <c r="I90" s="34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</row>
    <row r="91" spans="2:23" s="5" customFormat="1" ht="18" customHeight="1" x14ac:dyDescent="0.25">
      <c r="B91" s="34"/>
      <c r="C91" s="34"/>
      <c r="D91" s="34"/>
      <c r="E91" s="34"/>
      <c r="F91" s="34"/>
      <c r="G91" s="34"/>
      <c r="H91" s="34"/>
      <c r="I91" s="34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</row>
    <row r="92" spans="2:23" s="5" customFormat="1" ht="18" customHeight="1" x14ac:dyDescent="0.25">
      <c r="B92" s="34"/>
      <c r="C92" s="34"/>
      <c r="D92" s="34"/>
      <c r="E92" s="34"/>
      <c r="F92" s="34"/>
      <c r="G92" s="34"/>
      <c r="H92" s="34"/>
      <c r="I92" s="34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</row>
    <row r="93" spans="2:23" s="5" customFormat="1" ht="18" customHeight="1" x14ac:dyDescent="0.25">
      <c r="B93" s="34"/>
      <c r="C93" s="34"/>
      <c r="D93" s="34"/>
      <c r="E93" s="34"/>
      <c r="F93" s="34"/>
      <c r="G93" s="34"/>
      <c r="H93" s="34"/>
      <c r="I93" s="34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</row>
    <row r="94" spans="2:23" s="5" customFormat="1" ht="18" customHeight="1" x14ac:dyDescent="0.25">
      <c r="B94" s="34"/>
      <c r="C94" s="34"/>
      <c r="D94" s="34"/>
      <c r="E94" s="34"/>
      <c r="F94" s="34"/>
      <c r="G94" s="34"/>
      <c r="H94" s="34"/>
      <c r="I94" s="34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</row>
    <row r="95" spans="2:23" s="5" customFormat="1" ht="18" customHeight="1" x14ac:dyDescent="0.25">
      <c r="B95" s="34"/>
      <c r="C95" s="34"/>
      <c r="D95" s="34"/>
      <c r="E95" s="34"/>
      <c r="F95" s="34"/>
      <c r="G95" s="34"/>
      <c r="H95" s="34"/>
      <c r="I95" s="34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</row>
    <row r="96" spans="2:23" s="5" customFormat="1" ht="18" customHeight="1" x14ac:dyDescent="0.25">
      <c r="B96" s="34"/>
      <c r="C96" s="34"/>
      <c r="D96" s="34"/>
      <c r="E96" s="34"/>
      <c r="F96" s="34"/>
      <c r="G96" s="34"/>
      <c r="H96" s="34"/>
      <c r="I96" s="34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</row>
    <row r="97" spans="2:23" s="5" customFormat="1" ht="18" customHeight="1" x14ac:dyDescent="0.25">
      <c r="B97" s="34"/>
      <c r="C97" s="34"/>
      <c r="D97" s="34"/>
      <c r="E97" s="34"/>
      <c r="F97" s="34"/>
      <c r="G97" s="34"/>
      <c r="H97" s="34"/>
      <c r="I97" s="34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</row>
    <row r="98" spans="2:23" s="5" customFormat="1" ht="18" customHeight="1" x14ac:dyDescent="0.25">
      <c r="B98" s="34"/>
      <c r="C98" s="34"/>
      <c r="D98" s="34"/>
      <c r="E98" s="34"/>
      <c r="F98" s="34"/>
      <c r="G98" s="34"/>
      <c r="H98" s="34"/>
      <c r="I98" s="34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 spans="2:23" s="5" customFormat="1" ht="18" customHeight="1" x14ac:dyDescent="0.25">
      <c r="B99" s="34"/>
      <c r="C99" s="34"/>
      <c r="D99" s="34"/>
      <c r="E99" s="34"/>
      <c r="F99" s="34"/>
      <c r="G99" s="34"/>
      <c r="H99" s="34"/>
      <c r="I99" s="34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</row>
    <row r="100" spans="2:23" s="5" customFormat="1" ht="18" customHeight="1" x14ac:dyDescent="0.25">
      <c r="B100" s="34"/>
      <c r="C100" s="34"/>
      <c r="D100" s="34"/>
      <c r="E100" s="34"/>
      <c r="F100" s="34"/>
      <c r="G100" s="34"/>
      <c r="H100" s="34"/>
      <c r="I100" s="34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</row>
    <row r="101" spans="2:23" s="5" customFormat="1" ht="18" customHeight="1" x14ac:dyDescent="0.25">
      <c r="B101" s="34"/>
      <c r="C101" s="34"/>
      <c r="D101" s="34"/>
      <c r="E101" s="34"/>
      <c r="F101" s="34"/>
      <c r="G101" s="34"/>
      <c r="H101" s="34"/>
      <c r="I101" s="34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</row>
    <row r="102" spans="2:23" s="5" customFormat="1" ht="18" customHeight="1" x14ac:dyDescent="0.25">
      <c r="B102" s="34"/>
      <c r="C102" s="34"/>
      <c r="D102" s="34"/>
      <c r="E102" s="34"/>
      <c r="F102" s="34"/>
      <c r="G102" s="34"/>
      <c r="H102" s="34"/>
      <c r="I102" s="34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</row>
    <row r="103" spans="2:23" s="5" customFormat="1" ht="18" customHeight="1" x14ac:dyDescent="0.25">
      <c r="B103" s="34"/>
      <c r="C103" s="34"/>
      <c r="D103" s="34"/>
      <c r="E103" s="34"/>
      <c r="F103" s="34"/>
      <c r="G103" s="34"/>
      <c r="H103" s="34"/>
      <c r="I103" s="34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</row>
    <row r="104" spans="2:23" s="5" customFormat="1" ht="18" customHeight="1" x14ac:dyDescent="0.25">
      <c r="B104" s="34"/>
      <c r="C104" s="34"/>
      <c r="D104" s="34"/>
      <c r="E104" s="34"/>
      <c r="F104" s="34"/>
      <c r="G104" s="34"/>
      <c r="H104" s="34"/>
      <c r="I104" s="34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</row>
    <row r="105" spans="2:23" s="5" customFormat="1" ht="18" customHeight="1" x14ac:dyDescent="0.25">
      <c r="B105" s="34"/>
      <c r="C105" s="34"/>
      <c r="D105" s="34"/>
      <c r="E105" s="34"/>
      <c r="F105" s="34"/>
      <c r="G105" s="34"/>
      <c r="H105" s="34"/>
      <c r="I105" s="34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</row>
    <row r="106" spans="2:23" s="5" customFormat="1" ht="18" customHeight="1" x14ac:dyDescent="0.25">
      <c r="B106" s="34"/>
      <c r="C106" s="34"/>
      <c r="D106" s="34"/>
      <c r="E106" s="34"/>
      <c r="F106" s="34"/>
      <c r="G106" s="34"/>
      <c r="H106" s="34"/>
      <c r="I106" s="34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</row>
    <row r="107" spans="2:23" s="5" customFormat="1" ht="18" customHeight="1" x14ac:dyDescent="0.25">
      <c r="B107" s="34"/>
      <c r="C107" s="34"/>
      <c r="D107" s="34"/>
      <c r="E107" s="34"/>
      <c r="F107" s="34"/>
      <c r="G107" s="34"/>
      <c r="H107" s="34"/>
      <c r="I107" s="34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</row>
    <row r="108" spans="2:23" s="5" customFormat="1" ht="18" customHeight="1" x14ac:dyDescent="0.25">
      <c r="B108" s="34"/>
      <c r="C108" s="34"/>
      <c r="D108" s="34"/>
      <c r="E108" s="34"/>
      <c r="F108" s="34"/>
      <c r="G108" s="34"/>
      <c r="H108" s="34"/>
      <c r="I108" s="34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</row>
    <row r="109" spans="2:23" s="5" customFormat="1" ht="18" customHeight="1" x14ac:dyDescent="0.25">
      <c r="B109" s="34"/>
      <c r="C109" s="34"/>
      <c r="D109" s="34"/>
      <c r="E109" s="34"/>
      <c r="F109" s="34"/>
      <c r="G109" s="34"/>
      <c r="H109" s="34"/>
      <c r="I109" s="34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</row>
    <row r="110" spans="2:23" s="5" customFormat="1" ht="18" customHeight="1" x14ac:dyDescent="0.25">
      <c r="B110" s="34"/>
      <c r="C110" s="34"/>
      <c r="D110" s="34"/>
      <c r="E110" s="34"/>
      <c r="F110" s="34"/>
      <c r="G110" s="34"/>
      <c r="H110" s="34"/>
      <c r="I110" s="34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</row>
    <row r="111" spans="2:23" s="5" customFormat="1" ht="18" customHeight="1" x14ac:dyDescent="0.25">
      <c r="B111" s="34"/>
      <c r="C111" s="34"/>
      <c r="D111" s="34"/>
      <c r="E111" s="34"/>
      <c r="F111" s="34"/>
      <c r="G111" s="34"/>
      <c r="H111" s="34"/>
      <c r="I111" s="34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</row>
    <row r="112" spans="2:23" s="5" customFormat="1" ht="18" customHeight="1" x14ac:dyDescent="0.25">
      <c r="B112" s="34"/>
      <c r="C112" s="34"/>
      <c r="D112" s="34"/>
      <c r="E112" s="34"/>
      <c r="F112" s="34"/>
      <c r="G112" s="34"/>
      <c r="H112" s="34"/>
      <c r="I112" s="34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</row>
    <row r="113" spans="2:23" s="5" customFormat="1" ht="18" customHeight="1" x14ac:dyDescent="0.25">
      <c r="B113" s="34"/>
      <c r="C113" s="34"/>
      <c r="D113" s="34"/>
      <c r="E113" s="34"/>
      <c r="F113" s="34"/>
      <c r="G113" s="34"/>
      <c r="H113" s="34"/>
      <c r="I113" s="34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</row>
    <row r="114" spans="2:23" s="5" customFormat="1" ht="18" customHeight="1" x14ac:dyDescent="0.25">
      <c r="B114" s="34"/>
      <c r="C114" s="34"/>
      <c r="D114" s="34"/>
      <c r="E114" s="34"/>
      <c r="F114" s="34"/>
      <c r="G114" s="34"/>
      <c r="H114" s="34"/>
      <c r="I114" s="34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</row>
    <row r="115" spans="2:23" s="5" customFormat="1" ht="18" customHeight="1" x14ac:dyDescent="0.25">
      <c r="B115" s="34"/>
      <c r="C115" s="34"/>
      <c r="D115" s="34"/>
      <c r="E115" s="34"/>
      <c r="F115" s="34"/>
      <c r="G115" s="34"/>
      <c r="H115" s="34"/>
      <c r="I115" s="34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</row>
    <row r="116" spans="2:23" s="5" customFormat="1" ht="18" customHeight="1" x14ac:dyDescent="0.25">
      <c r="B116" s="34"/>
      <c r="C116" s="34"/>
      <c r="D116" s="34"/>
      <c r="E116" s="34"/>
      <c r="F116" s="34"/>
      <c r="G116" s="34"/>
      <c r="H116" s="34"/>
      <c r="I116" s="34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</row>
    <row r="117" spans="2:23" s="5" customFormat="1" ht="18" customHeight="1" x14ac:dyDescent="0.25">
      <c r="B117" s="34"/>
      <c r="C117" s="34"/>
      <c r="D117" s="34"/>
      <c r="E117" s="34"/>
      <c r="F117" s="34"/>
      <c r="G117" s="34"/>
      <c r="H117" s="34"/>
      <c r="I117" s="34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</row>
    <row r="118" spans="2:23" s="5" customFormat="1" ht="18" customHeight="1" x14ac:dyDescent="0.25">
      <c r="B118" s="34"/>
      <c r="C118" s="34"/>
      <c r="D118" s="34"/>
      <c r="E118" s="34"/>
      <c r="F118" s="34"/>
      <c r="G118" s="34"/>
      <c r="H118" s="34"/>
      <c r="I118" s="34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</row>
    <row r="119" spans="2:23" s="5" customFormat="1" ht="18" customHeight="1" x14ac:dyDescent="0.25">
      <c r="B119" s="34"/>
      <c r="C119" s="34"/>
      <c r="D119" s="34"/>
      <c r="E119" s="34"/>
      <c r="F119" s="34"/>
      <c r="G119" s="34"/>
      <c r="H119" s="34"/>
      <c r="I119" s="34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</row>
    <row r="120" spans="2:23" s="5" customFormat="1" ht="18" customHeight="1" x14ac:dyDescent="0.25">
      <c r="B120" s="34"/>
      <c r="C120" s="34"/>
      <c r="D120" s="34"/>
      <c r="E120" s="34"/>
      <c r="F120" s="34"/>
      <c r="G120" s="34"/>
      <c r="H120" s="34"/>
      <c r="I120" s="34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</row>
    <row r="121" spans="2:23" s="5" customFormat="1" ht="18" customHeight="1" x14ac:dyDescent="0.25">
      <c r="B121" s="34"/>
      <c r="C121" s="34"/>
      <c r="D121" s="34"/>
      <c r="E121" s="34"/>
      <c r="F121" s="34"/>
      <c r="G121" s="34"/>
      <c r="H121" s="34"/>
      <c r="I121" s="34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</row>
    <row r="122" spans="2:23" s="5" customFormat="1" ht="18" customHeight="1" x14ac:dyDescent="0.25">
      <c r="B122" s="34"/>
      <c r="C122" s="34"/>
      <c r="D122" s="34"/>
      <c r="E122" s="34"/>
      <c r="F122" s="34"/>
      <c r="G122" s="34"/>
      <c r="H122" s="34"/>
      <c r="I122" s="34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</row>
    <row r="123" spans="2:23" s="5" customFormat="1" ht="18" customHeight="1" x14ac:dyDescent="0.25">
      <c r="B123" s="34"/>
      <c r="C123" s="34"/>
      <c r="D123" s="34"/>
      <c r="E123" s="34"/>
      <c r="F123" s="34"/>
      <c r="G123" s="34"/>
      <c r="H123" s="34"/>
      <c r="I123" s="34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</row>
    <row r="124" spans="2:23" s="5" customFormat="1" ht="18" customHeight="1" x14ac:dyDescent="0.25">
      <c r="B124" s="34"/>
      <c r="C124" s="34"/>
      <c r="D124" s="34"/>
      <c r="E124" s="34"/>
      <c r="F124" s="34"/>
      <c r="G124" s="34"/>
      <c r="H124" s="34"/>
      <c r="I124" s="34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</row>
    <row r="125" spans="2:23" s="5" customFormat="1" ht="18" customHeight="1" x14ac:dyDescent="0.25">
      <c r="B125" s="34"/>
      <c r="C125" s="34"/>
      <c r="D125" s="34"/>
      <c r="E125" s="34"/>
      <c r="F125" s="34"/>
      <c r="G125" s="34"/>
      <c r="H125" s="34"/>
      <c r="I125" s="34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</row>
    <row r="126" spans="2:23" s="5" customFormat="1" ht="18" customHeight="1" x14ac:dyDescent="0.25">
      <c r="B126" s="34"/>
      <c r="C126" s="34"/>
      <c r="D126" s="34"/>
      <c r="E126" s="34"/>
      <c r="F126" s="34"/>
      <c r="G126" s="34"/>
      <c r="H126" s="34"/>
      <c r="I126" s="34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</row>
    <row r="127" spans="2:23" s="5" customFormat="1" ht="18" customHeight="1" x14ac:dyDescent="0.25">
      <c r="B127" s="34"/>
      <c r="C127" s="34"/>
      <c r="D127" s="34"/>
      <c r="E127" s="34"/>
      <c r="F127" s="34"/>
      <c r="G127" s="34"/>
      <c r="H127" s="34"/>
      <c r="I127" s="34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</row>
    <row r="128" spans="2:23" s="5" customFormat="1" ht="18" customHeight="1" x14ac:dyDescent="0.25">
      <c r="B128" s="34"/>
      <c r="C128" s="34"/>
      <c r="D128" s="34"/>
      <c r="E128" s="34"/>
      <c r="F128" s="34"/>
      <c r="G128" s="34"/>
      <c r="H128" s="34"/>
      <c r="I128" s="34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</row>
    <row r="129" spans="2:23" s="5" customFormat="1" ht="18" customHeight="1" x14ac:dyDescent="0.25">
      <c r="B129" s="34"/>
      <c r="C129" s="34"/>
      <c r="D129" s="34"/>
      <c r="E129" s="34"/>
      <c r="F129" s="34"/>
      <c r="G129" s="34"/>
      <c r="H129" s="34"/>
      <c r="I129" s="34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</row>
    <row r="130" spans="2:23" s="5" customFormat="1" ht="18" customHeight="1" x14ac:dyDescent="0.25">
      <c r="B130" s="34"/>
      <c r="C130" s="34"/>
      <c r="D130" s="34"/>
      <c r="E130" s="34"/>
      <c r="F130" s="34"/>
      <c r="G130" s="34"/>
      <c r="H130" s="34"/>
      <c r="I130" s="34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</row>
    <row r="131" spans="2:23" s="5" customFormat="1" ht="18" customHeight="1" x14ac:dyDescent="0.25">
      <c r="B131" s="34"/>
      <c r="C131" s="34"/>
      <c r="D131" s="34"/>
      <c r="E131" s="34"/>
      <c r="F131" s="34"/>
      <c r="G131" s="34"/>
      <c r="H131" s="34"/>
      <c r="I131" s="34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</row>
    <row r="132" spans="2:23" s="5" customFormat="1" ht="18" customHeight="1" x14ac:dyDescent="0.25">
      <c r="B132" s="34"/>
      <c r="C132" s="34"/>
      <c r="D132" s="34"/>
      <c r="E132" s="34"/>
      <c r="F132" s="34"/>
      <c r="G132" s="34"/>
      <c r="H132" s="34"/>
      <c r="I132" s="34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</row>
    <row r="133" spans="2:23" s="5" customFormat="1" ht="18" customHeight="1" x14ac:dyDescent="0.25">
      <c r="B133" s="34"/>
      <c r="C133" s="34"/>
      <c r="D133" s="34"/>
      <c r="E133" s="34"/>
      <c r="F133" s="34"/>
      <c r="G133" s="34"/>
      <c r="H133" s="34"/>
      <c r="I133" s="34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</row>
    <row r="134" spans="2:23" s="5" customFormat="1" ht="18" customHeight="1" x14ac:dyDescent="0.25">
      <c r="B134" s="34"/>
      <c r="C134" s="34"/>
      <c r="D134" s="34"/>
      <c r="E134" s="34"/>
      <c r="F134" s="34"/>
      <c r="G134" s="34"/>
      <c r="H134" s="34"/>
      <c r="I134" s="34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</row>
    <row r="135" spans="2:23" s="5" customFormat="1" ht="18" customHeight="1" x14ac:dyDescent="0.25">
      <c r="B135" s="34"/>
      <c r="C135" s="34"/>
      <c r="D135" s="34"/>
      <c r="E135" s="34"/>
      <c r="F135" s="34"/>
      <c r="G135" s="34"/>
      <c r="H135" s="34"/>
      <c r="I135" s="34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</row>
    <row r="136" spans="2:23" s="5" customFormat="1" ht="18" customHeight="1" x14ac:dyDescent="0.25">
      <c r="B136" s="34"/>
      <c r="C136" s="34"/>
      <c r="D136" s="34"/>
      <c r="E136" s="34"/>
      <c r="F136" s="34"/>
      <c r="G136" s="34"/>
      <c r="H136" s="34"/>
      <c r="I136" s="34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</row>
    <row r="137" spans="2:23" s="5" customFormat="1" ht="18" customHeight="1" x14ac:dyDescent="0.25">
      <c r="B137" s="34"/>
      <c r="C137" s="34"/>
      <c r="D137" s="34"/>
      <c r="E137" s="34"/>
      <c r="F137" s="34"/>
      <c r="G137" s="34"/>
      <c r="H137" s="34"/>
      <c r="I137" s="34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</row>
    <row r="138" spans="2:23" s="5" customFormat="1" ht="18" customHeight="1" x14ac:dyDescent="0.25">
      <c r="B138" s="34"/>
      <c r="C138" s="34"/>
      <c r="D138" s="34"/>
      <c r="E138" s="34"/>
      <c r="F138" s="34"/>
      <c r="G138" s="34"/>
      <c r="H138" s="34"/>
      <c r="I138" s="34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</row>
    <row r="139" spans="2:23" s="5" customFormat="1" ht="18" customHeight="1" x14ac:dyDescent="0.25">
      <c r="B139" s="34"/>
      <c r="C139" s="34"/>
      <c r="D139" s="34"/>
      <c r="E139" s="34"/>
      <c r="F139" s="34"/>
      <c r="G139" s="34"/>
      <c r="H139" s="34"/>
      <c r="I139" s="34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</row>
    <row r="140" spans="2:23" s="5" customFormat="1" ht="18" customHeight="1" x14ac:dyDescent="0.25">
      <c r="B140" s="34"/>
      <c r="C140" s="34"/>
      <c r="D140" s="34"/>
      <c r="E140" s="34"/>
      <c r="F140" s="34"/>
      <c r="G140" s="34"/>
      <c r="H140" s="34"/>
      <c r="I140" s="34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</row>
    <row r="141" spans="2:23" s="5" customFormat="1" ht="18" customHeight="1" x14ac:dyDescent="0.25">
      <c r="B141" s="34"/>
      <c r="C141" s="34"/>
      <c r="D141" s="34"/>
      <c r="E141" s="34"/>
      <c r="F141" s="34"/>
      <c r="G141" s="34"/>
      <c r="H141" s="34"/>
      <c r="I141" s="34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</row>
    <row r="142" spans="2:23" s="5" customFormat="1" ht="18" customHeight="1" x14ac:dyDescent="0.25">
      <c r="B142" s="34"/>
      <c r="C142" s="34"/>
      <c r="D142" s="34"/>
      <c r="E142" s="34"/>
      <c r="F142" s="34"/>
      <c r="G142" s="34"/>
      <c r="H142" s="34"/>
      <c r="I142" s="34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</row>
    <row r="143" spans="2:23" s="5" customFormat="1" ht="18" customHeight="1" x14ac:dyDescent="0.25">
      <c r="B143" s="34"/>
      <c r="C143" s="34"/>
      <c r="D143" s="34"/>
      <c r="E143" s="34"/>
      <c r="F143" s="34"/>
      <c r="G143" s="34"/>
      <c r="H143" s="34"/>
      <c r="I143" s="34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</row>
    <row r="144" spans="2:23" s="5" customFormat="1" ht="18" customHeight="1" x14ac:dyDescent="0.25">
      <c r="B144" s="34"/>
      <c r="C144" s="34"/>
      <c r="D144" s="34"/>
      <c r="E144" s="34"/>
      <c r="F144" s="34"/>
      <c r="G144" s="34"/>
      <c r="H144" s="34"/>
      <c r="I144" s="34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</row>
    <row r="145" spans="2:23" s="5" customFormat="1" ht="18" customHeight="1" x14ac:dyDescent="0.25">
      <c r="B145" s="34"/>
      <c r="C145" s="34"/>
      <c r="D145" s="34"/>
      <c r="E145" s="34"/>
      <c r="F145" s="34"/>
      <c r="G145" s="34"/>
      <c r="H145" s="34"/>
      <c r="I145" s="34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</row>
    <row r="146" spans="2:23" s="5" customFormat="1" ht="18" customHeight="1" x14ac:dyDescent="0.25">
      <c r="B146" s="34"/>
      <c r="C146" s="34"/>
      <c r="D146" s="34"/>
      <c r="E146" s="34"/>
      <c r="F146" s="34"/>
      <c r="G146" s="34"/>
      <c r="H146" s="34"/>
      <c r="I146" s="34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</row>
    <row r="147" spans="2:23" s="5" customFormat="1" ht="18" customHeight="1" x14ac:dyDescent="0.25">
      <c r="B147" s="34"/>
      <c r="C147" s="34"/>
      <c r="D147" s="34"/>
      <c r="E147" s="34"/>
      <c r="F147" s="34"/>
      <c r="G147" s="34"/>
      <c r="H147" s="34"/>
      <c r="I147" s="34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</row>
    <row r="148" spans="2:23" s="5" customFormat="1" ht="18" customHeight="1" x14ac:dyDescent="0.25">
      <c r="B148" s="34"/>
      <c r="C148" s="34"/>
      <c r="D148" s="34"/>
      <c r="E148" s="34"/>
      <c r="F148" s="34"/>
      <c r="G148" s="34"/>
      <c r="H148" s="34"/>
      <c r="I148" s="34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</row>
    <row r="149" spans="2:23" s="5" customFormat="1" ht="18" customHeight="1" x14ac:dyDescent="0.25">
      <c r="B149" s="34"/>
      <c r="C149" s="34"/>
      <c r="D149" s="34"/>
      <c r="E149" s="34"/>
      <c r="F149" s="34"/>
      <c r="G149" s="34"/>
      <c r="H149" s="34"/>
      <c r="I149" s="34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</row>
    <row r="150" spans="2:23" s="5" customFormat="1" ht="18" customHeight="1" x14ac:dyDescent="0.25">
      <c r="B150" s="34"/>
      <c r="C150" s="34"/>
      <c r="D150" s="34"/>
      <c r="E150" s="34"/>
      <c r="F150" s="34"/>
      <c r="G150" s="34"/>
      <c r="H150" s="34"/>
      <c r="I150" s="34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</row>
    <row r="151" spans="2:23" s="5" customFormat="1" ht="18" customHeight="1" x14ac:dyDescent="0.25">
      <c r="B151" s="34"/>
      <c r="C151" s="34"/>
      <c r="D151" s="34"/>
      <c r="E151" s="34"/>
      <c r="F151" s="34"/>
      <c r="G151" s="34"/>
      <c r="H151" s="34"/>
      <c r="I151" s="34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</row>
    <row r="152" spans="2:23" s="5" customFormat="1" ht="18" customHeight="1" x14ac:dyDescent="0.25">
      <c r="B152" s="34"/>
      <c r="C152" s="34"/>
      <c r="D152" s="34"/>
      <c r="E152" s="34"/>
      <c r="F152" s="34"/>
      <c r="G152" s="34"/>
      <c r="H152" s="34"/>
      <c r="I152" s="34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</row>
    <row r="153" spans="2:23" s="5" customFormat="1" ht="18" customHeight="1" x14ac:dyDescent="0.25">
      <c r="B153" s="34"/>
      <c r="C153" s="34"/>
      <c r="D153" s="34"/>
      <c r="E153" s="34"/>
      <c r="F153" s="34"/>
      <c r="G153" s="34"/>
      <c r="H153" s="34"/>
      <c r="I153" s="34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</row>
    <row r="154" spans="2:23" s="5" customFormat="1" ht="18" customHeight="1" x14ac:dyDescent="0.25">
      <c r="B154" s="34"/>
      <c r="C154" s="34"/>
      <c r="D154" s="34"/>
      <c r="E154" s="34"/>
      <c r="F154" s="34"/>
      <c r="G154" s="34"/>
      <c r="H154" s="34"/>
      <c r="I154" s="34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 spans="2:23" s="5" customFormat="1" ht="18" customHeight="1" x14ac:dyDescent="0.25">
      <c r="B155" s="34"/>
      <c r="C155" s="34"/>
      <c r="D155" s="34"/>
      <c r="E155" s="34"/>
      <c r="F155" s="34"/>
      <c r="G155" s="34"/>
      <c r="H155" s="34"/>
      <c r="I155" s="34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</row>
    <row r="156" spans="2:23" s="5" customFormat="1" ht="18" customHeight="1" x14ac:dyDescent="0.25">
      <c r="B156" s="34"/>
      <c r="C156" s="34"/>
      <c r="D156" s="34"/>
      <c r="E156" s="34"/>
      <c r="F156" s="34"/>
      <c r="G156" s="34"/>
      <c r="H156" s="34"/>
      <c r="I156" s="34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</row>
    <row r="157" spans="2:23" s="5" customFormat="1" ht="18" customHeight="1" x14ac:dyDescent="0.25">
      <c r="B157" s="34"/>
      <c r="C157" s="34"/>
      <c r="D157" s="34"/>
      <c r="E157" s="34"/>
      <c r="F157" s="34"/>
      <c r="G157" s="34"/>
      <c r="H157" s="34"/>
      <c r="I157" s="34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</row>
    <row r="158" spans="2:23" s="5" customFormat="1" ht="18" customHeight="1" x14ac:dyDescent="0.25">
      <c r="B158" s="34"/>
      <c r="C158" s="34"/>
      <c r="D158" s="34"/>
      <c r="E158" s="34"/>
      <c r="F158" s="34"/>
      <c r="G158" s="34"/>
      <c r="H158" s="34"/>
      <c r="I158" s="34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</row>
    <row r="159" spans="2:23" s="5" customFormat="1" ht="18" customHeight="1" x14ac:dyDescent="0.25">
      <c r="B159" s="34"/>
      <c r="C159" s="34"/>
      <c r="D159" s="34"/>
      <c r="E159" s="34"/>
      <c r="F159" s="34"/>
      <c r="G159" s="34"/>
      <c r="H159" s="34"/>
      <c r="I159" s="34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</row>
    <row r="160" spans="2:23" s="5" customFormat="1" ht="18" customHeight="1" x14ac:dyDescent="0.25">
      <c r="B160" s="34"/>
      <c r="C160" s="34"/>
      <c r="D160" s="34"/>
      <c r="E160" s="34"/>
      <c r="F160" s="34"/>
      <c r="G160" s="34"/>
      <c r="H160" s="34"/>
      <c r="I160" s="34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1" spans="2:23" s="5" customFormat="1" ht="18" customHeight="1" x14ac:dyDescent="0.25">
      <c r="B161" s="34"/>
      <c r="C161" s="34"/>
      <c r="D161" s="34"/>
      <c r="E161" s="34"/>
      <c r="F161" s="34"/>
      <c r="G161" s="34"/>
      <c r="H161" s="34"/>
      <c r="I161" s="34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</row>
    <row r="162" spans="2:23" s="5" customFormat="1" ht="18" customHeight="1" x14ac:dyDescent="0.25">
      <c r="B162" s="34"/>
      <c r="C162" s="34"/>
      <c r="D162" s="34"/>
      <c r="E162" s="34"/>
      <c r="F162" s="34"/>
      <c r="G162" s="34"/>
      <c r="H162" s="34"/>
      <c r="I162" s="34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</row>
    <row r="163" spans="2:23" s="5" customFormat="1" ht="18" customHeight="1" x14ac:dyDescent="0.25">
      <c r="B163" s="34"/>
      <c r="C163" s="34"/>
      <c r="D163" s="34"/>
      <c r="E163" s="34"/>
      <c r="F163" s="34"/>
      <c r="G163" s="34"/>
      <c r="H163" s="34"/>
      <c r="I163" s="34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</row>
    <row r="164" spans="2:23" s="5" customFormat="1" ht="18" customHeight="1" x14ac:dyDescent="0.25">
      <c r="B164" s="34"/>
      <c r="C164" s="34"/>
      <c r="D164" s="34"/>
      <c r="E164" s="34"/>
      <c r="F164" s="34"/>
      <c r="G164" s="34"/>
      <c r="H164" s="34"/>
      <c r="I164" s="34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</row>
    <row r="165" spans="2:23" s="5" customFormat="1" ht="18" customHeight="1" x14ac:dyDescent="0.25">
      <c r="B165" s="34"/>
      <c r="C165" s="34"/>
      <c r="D165" s="34"/>
      <c r="E165" s="34"/>
      <c r="F165" s="34"/>
      <c r="G165" s="34"/>
      <c r="H165" s="34"/>
      <c r="I165" s="34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</row>
    <row r="166" spans="2:23" s="5" customFormat="1" ht="18" customHeight="1" x14ac:dyDescent="0.25">
      <c r="B166" s="34"/>
      <c r="C166" s="34"/>
      <c r="D166" s="34"/>
      <c r="E166" s="34"/>
      <c r="F166" s="34"/>
      <c r="G166" s="34"/>
      <c r="H166" s="34"/>
      <c r="I166" s="34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</row>
    <row r="167" spans="2:23" s="5" customFormat="1" ht="18" customHeight="1" x14ac:dyDescent="0.25">
      <c r="B167" s="34"/>
      <c r="C167" s="34"/>
      <c r="D167" s="34"/>
      <c r="E167" s="34"/>
      <c r="F167" s="34"/>
      <c r="G167" s="34"/>
      <c r="H167" s="34"/>
      <c r="I167" s="34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</row>
    <row r="168" spans="2:23" s="5" customFormat="1" ht="18" customHeight="1" x14ac:dyDescent="0.25">
      <c r="B168" s="34"/>
      <c r="C168" s="34"/>
      <c r="D168" s="34"/>
      <c r="E168" s="34"/>
      <c r="F168" s="34"/>
      <c r="G168" s="34"/>
      <c r="H168" s="34"/>
      <c r="I168" s="34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</row>
    <row r="169" spans="2:23" s="5" customFormat="1" ht="18" customHeight="1" x14ac:dyDescent="0.25">
      <c r="B169" s="34"/>
      <c r="C169" s="34"/>
      <c r="D169" s="34"/>
      <c r="E169" s="34"/>
      <c r="F169" s="34"/>
      <c r="G169" s="34"/>
      <c r="H169" s="34"/>
      <c r="I169" s="34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</row>
    <row r="170" spans="2:23" s="5" customFormat="1" ht="18" customHeight="1" x14ac:dyDescent="0.25">
      <c r="B170" s="34"/>
      <c r="C170" s="34"/>
      <c r="D170" s="34"/>
      <c r="E170" s="34"/>
      <c r="F170" s="34"/>
      <c r="G170" s="34"/>
      <c r="H170" s="34"/>
      <c r="I170" s="34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</row>
    <row r="171" spans="2:23" s="5" customFormat="1" ht="18" customHeight="1" x14ac:dyDescent="0.25">
      <c r="B171" s="34"/>
      <c r="C171" s="34"/>
      <c r="D171" s="34"/>
      <c r="E171" s="34"/>
      <c r="F171" s="34"/>
      <c r="G171" s="34"/>
      <c r="H171" s="34"/>
      <c r="I171" s="34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</row>
    <row r="172" spans="2:23" s="5" customFormat="1" ht="18" customHeight="1" x14ac:dyDescent="0.25">
      <c r="B172" s="34"/>
      <c r="C172" s="34"/>
      <c r="D172" s="34"/>
      <c r="E172" s="34"/>
      <c r="F172" s="34"/>
      <c r="G172" s="34"/>
      <c r="H172" s="34"/>
      <c r="I172" s="34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</row>
    <row r="173" spans="2:23" s="5" customFormat="1" ht="18" customHeight="1" x14ac:dyDescent="0.25">
      <c r="B173" s="34"/>
      <c r="C173" s="34"/>
      <c r="D173" s="34"/>
      <c r="E173" s="34"/>
      <c r="F173" s="34"/>
      <c r="G173" s="34"/>
      <c r="H173" s="34"/>
      <c r="I173" s="34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</row>
    <row r="174" spans="2:23" s="5" customFormat="1" ht="18" customHeight="1" x14ac:dyDescent="0.25">
      <c r="B174" s="34"/>
      <c r="C174" s="34"/>
      <c r="D174" s="34"/>
      <c r="E174" s="34"/>
      <c r="F174" s="34"/>
      <c r="G174" s="34"/>
      <c r="H174" s="34"/>
      <c r="I174" s="34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</row>
    <row r="175" spans="2:23" s="5" customFormat="1" ht="18" customHeight="1" x14ac:dyDescent="0.25">
      <c r="B175" s="34"/>
      <c r="C175" s="34"/>
      <c r="D175" s="34"/>
      <c r="E175" s="34"/>
      <c r="F175" s="34"/>
      <c r="G175" s="34"/>
      <c r="H175" s="34"/>
      <c r="I175" s="34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</row>
    <row r="176" spans="2:23" s="5" customFormat="1" ht="18" customHeight="1" x14ac:dyDescent="0.25">
      <c r="B176" s="34"/>
      <c r="C176" s="34"/>
      <c r="D176" s="34"/>
      <c r="E176" s="34"/>
      <c r="F176" s="34"/>
      <c r="G176" s="34"/>
      <c r="H176" s="34"/>
      <c r="I176" s="34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</row>
    <row r="177" spans="2:23" s="5" customFormat="1" ht="18" customHeight="1" x14ac:dyDescent="0.25">
      <c r="B177" s="34"/>
      <c r="C177" s="34"/>
      <c r="D177" s="34"/>
      <c r="E177" s="34"/>
      <c r="F177" s="34"/>
      <c r="G177" s="34"/>
      <c r="H177" s="34"/>
      <c r="I177" s="34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</row>
    <row r="178" spans="2:23" s="5" customFormat="1" ht="18" customHeight="1" x14ac:dyDescent="0.25">
      <c r="B178" s="34"/>
      <c r="C178" s="34"/>
      <c r="D178" s="34"/>
      <c r="E178" s="34"/>
      <c r="F178" s="34"/>
      <c r="G178" s="34"/>
      <c r="H178" s="34"/>
      <c r="I178" s="34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</row>
    <row r="179" spans="2:23" s="5" customFormat="1" ht="18" customHeight="1" x14ac:dyDescent="0.25">
      <c r="B179" s="34"/>
      <c r="C179" s="34"/>
      <c r="D179" s="34"/>
      <c r="E179" s="34"/>
      <c r="F179" s="34"/>
      <c r="G179" s="34"/>
      <c r="H179" s="34"/>
      <c r="I179" s="34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</row>
    <row r="180" spans="2:23" s="5" customFormat="1" ht="18" customHeight="1" x14ac:dyDescent="0.25">
      <c r="B180" s="34"/>
      <c r="C180" s="34"/>
      <c r="D180" s="34"/>
      <c r="E180" s="34"/>
      <c r="F180" s="34"/>
      <c r="G180" s="34"/>
      <c r="H180" s="34"/>
      <c r="I180" s="34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</row>
    <row r="181" spans="2:23" s="5" customFormat="1" ht="18" customHeight="1" x14ac:dyDescent="0.25">
      <c r="B181" s="34"/>
      <c r="C181" s="34"/>
      <c r="D181" s="34"/>
      <c r="E181" s="34"/>
      <c r="F181" s="34"/>
      <c r="G181" s="34"/>
      <c r="H181" s="34"/>
      <c r="I181" s="34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</row>
    <row r="182" spans="2:23" s="5" customFormat="1" ht="18" customHeight="1" x14ac:dyDescent="0.25">
      <c r="B182" s="34"/>
      <c r="C182" s="34"/>
      <c r="D182" s="34"/>
      <c r="E182" s="34"/>
      <c r="F182" s="34"/>
      <c r="G182" s="34"/>
      <c r="H182" s="34"/>
      <c r="I182" s="34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</row>
    <row r="183" spans="2:23" s="5" customFormat="1" ht="18" customHeight="1" x14ac:dyDescent="0.25">
      <c r="B183" s="34"/>
      <c r="C183" s="34"/>
      <c r="D183" s="34"/>
      <c r="E183" s="34"/>
      <c r="F183" s="34"/>
      <c r="G183" s="34"/>
      <c r="H183" s="34"/>
      <c r="I183" s="34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</row>
    <row r="184" spans="2:23" s="5" customFormat="1" ht="18" customHeight="1" x14ac:dyDescent="0.25">
      <c r="B184" s="34"/>
      <c r="C184" s="34"/>
      <c r="D184" s="34"/>
      <c r="E184" s="34"/>
      <c r="F184" s="34"/>
      <c r="G184" s="34"/>
      <c r="H184" s="34"/>
      <c r="I184" s="34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</row>
    <row r="185" spans="2:23" s="5" customFormat="1" ht="18" customHeight="1" x14ac:dyDescent="0.25">
      <c r="B185" s="34"/>
      <c r="C185" s="34"/>
      <c r="D185" s="34"/>
      <c r="E185" s="34"/>
      <c r="F185" s="34"/>
      <c r="G185" s="34"/>
      <c r="H185" s="34"/>
      <c r="I185" s="34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</row>
    <row r="186" spans="2:23" s="5" customFormat="1" ht="18" customHeight="1" x14ac:dyDescent="0.25">
      <c r="B186" s="34"/>
      <c r="C186" s="34"/>
      <c r="D186" s="34"/>
      <c r="E186" s="34"/>
      <c r="F186" s="34"/>
      <c r="G186" s="34"/>
      <c r="H186" s="34"/>
      <c r="I186" s="34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</row>
    <row r="187" spans="2:23" s="5" customFormat="1" ht="18" customHeight="1" x14ac:dyDescent="0.25">
      <c r="B187" s="34"/>
      <c r="C187" s="34"/>
      <c r="D187" s="34"/>
      <c r="E187" s="34"/>
      <c r="F187" s="34"/>
      <c r="G187" s="34"/>
      <c r="H187" s="34"/>
      <c r="I187" s="34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</row>
    <row r="188" spans="2:23" s="5" customFormat="1" ht="18" customHeight="1" x14ac:dyDescent="0.25">
      <c r="B188" s="34"/>
      <c r="C188" s="34"/>
      <c r="D188" s="34"/>
      <c r="E188" s="34"/>
      <c r="F188" s="34"/>
      <c r="G188" s="34"/>
      <c r="H188" s="34"/>
      <c r="I188" s="34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</row>
    <row r="189" spans="2:23" s="5" customFormat="1" ht="18" customHeight="1" x14ac:dyDescent="0.25">
      <c r="B189" s="34"/>
      <c r="C189" s="34"/>
      <c r="D189" s="34"/>
      <c r="E189" s="34"/>
      <c r="F189" s="34"/>
      <c r="G189" s="34"/>
      <c r="H189" s="34"/>
      <c r="I189" s="34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</row>
    <row r="190" spans="2:23" s="5" customFormat="1" ht="18" customHeight="1" x14ac:dyDescent="0.25">
      <c r="B190" s="34"/>
      <c r="C190" s="34"/>
      <c r="D190" s="34"/>
      <c r="E190" s="34"/>
      <c r="F190" s="34"/>
      <c r="G190" s="34"/>
      <c r="H190" s="34"/>
      <c r="I190" s="34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</row>
    <row r="191" spans="2:23" s="5" customFormat="1" ht="18" customHeight="1" x14ac:dyDescent="0.25">
      <c r="B191" s="34"/>
      <c r="C191" s="34"/>
      <c r="D191" s="34"/>
      <c r="E191" s="34"/>
      <c r="F191" s="34"/>
      <c r="G191" s="34"/>
      <c r="H191" s="34"/>
      <c r="I191" s="34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</row>
    <row r="192" spans="2:23" s="5" customFormat="1" ht="18" customHeight="1" x14ac:dyDescent="0.25">
      <c r="B192" s="34"/>
      <c r="C192" s="34"/>
      <c r="D192" s="34"/>
      <c r="E192" s="34"/>
      <c r="F192" s="34"/>
      <c r="G192" s="34"/>
      <c r="H192" s="34"/>
      <c r="I192" s="34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</row>
    <row r="193" spans="2:23" s="5" customFormat="1" ht="18" customHeight="1" x14ac:dyDescent="0.25">
      <c r="B193" s="34"/>
      <c r="C193" s="34"/>
      <c r="D193" s="34"/>
      <c r="E193" s="34"/>
      <c r="F193" s="34"/>
      <c r="G193" s="34"/>
      <c r="H193" s="34"/>
      <c r="I193" s="34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</row>
    <row r="194" spans="2:23" s="5" customFormat="1" ht="18" customHeight="1" x14ac:dyDescent="0.25">
      <c r="B194" s="34"/>
      <c r="C194" s="34"/>
      <c r="D194" s="34"/>
      <c r="E194" s="34"/>
      <c r="F194" s="34"/>
      <c r="G194" s="34"/>
      <c r="H194" s="34"/>
      <c r="I194" s="34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</row>
    <row r="195" spans="2:23" s="5" customFormat="1" ht="18" customHeight="1" x14ac:dyDescent="0.25">
      <c r="B195" s="34"/>
      <c r="C195" s="34"/>
      <c r="D195" s="34"/>
      <c r="E195" s="34"/>
      <c r="F195" s="34"/>
      <c r="G195" s="34"/>
      <c r="H195" s="34"/>
      <c r="I195" s="34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</row>
    <row r="196" spans="2:23" s="5" customFormat="1" ht="18" customHeight="1" x14ac:dyDescent="0.25">
      <c r="B196" s="34"/>
      <c r="C196" s="34"/>
      <c r="D196" s="34"/>
      <c r="E196" s="34"/>
      <c r="F196" s="34"/>
      <c r="G196" s="34"/>
      <c r="H196" s="34"/>
      <c r="I196" s="34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</row>
    <row r="197" spans="2:23" s="5" customFormat="1" ht="18" customHeight="1" x14ac:dyDescent="0.25">
      <c r="B197" s="34"/>
      <c r="C197" s="34"/>
      <c r="D197" s="34"/>
      <c r="E197" s="34"/>
      <c r="F197" s="34"/>
      <c r="G197" s="34"/>
      <c r="H197" s="34"/>
      <c r="I197" s="34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</row>
    <row r="198" spans="2:23" s="5" customFormat="1" ht="18" customHeight="1" x14ac:dyDescent="0.25">
      <c r="B198" s="34"/>
      <c r="C198" s="34"/>
      <c r="D198" s="34"/>
      <c r="E198" s="34"/>
      <c r="F198" s="34"/>
      <c r="G198" s="34"/>
      <c r="H198" s="34"/>
      <c r="I198" s="34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</row>
    <row r="199" spans="2:23" s="5" customFormat="1" ht="18" customHeight="1" x14ac:dyDescent="0.25">
      <c r="B199" s="34"/>
      <c r="C199" s="34"/>
      <c r="D199" s="34"/>
      <c r="E199" s="34"/>
      <c r="F199" s="34"/>
      <c r="G199" s="34"/>
      <c r="H199" s="34"/>
      <c r="I199" s="34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</row>
    <row r="200" spans="2:23" s="5" customFormat="1" ht="18" customHeight="1" x14ac:dyDescent="0.25">
      <c r="B200" s="34"/>
      <c r="C200" s="34"/>
      <c r="D200" s="34"/>
      <c r="E200" s="34"/>
      <c r="F200" s="34"/>
      <c r="G200" s="34"/>
      <c r="H200" s="34"/>
      <c r="I200" s="34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</row>
    <row r="201" spans="2:23" s="5" customFormat="1" ht="18" customHeight="1" x14ac:dyDescent="0.25">
      <c r="B201" s="34"/>
      <c r="C201" s="34"/>
      <c r="D201" s="34"/>
      <c r="E201" s="34"/>
      <c r="F201" s="34"/>
      <c r="G201" s="34"/>
      <c r="H201" s="34"/>
      <c r="I201" s="34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</row>
    <row r="202" spans="2:23" s="5" customFormat="1" ht="18" customHeight="1" x14ac:dyDescent="0.25">
      <c r="B202" s="34"/>
      <c r="C202" s="34"/>
      <c r="D202" s="34"/>
      <c r="E202" s="34"/>
      <c r="F202" s="34"/>
      <c r="G202" s="34"/>
      <c r="H202" s="34"/>
      <c r="I202" s="34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</row>
    <row r="203" spans="2:23" s="5" customFormat="1" ht="18" customHeight="1" x14ac:dyDescent="0.25">
      <c r="B203" s="34"/>
      <c r="C203" s="34"/>
      <c r="D203" s="34"/>
      <c r="E203" s="34"/>
      <c r="F203" s="34"/>
      <c r="G203" s="34"/>
      <c r="H203" s="34"/>
      <c r="I203" s="34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</row>
    <row r="204" spans="2:23" s="5" customFormat="1" ht="18" customHeight="1" x14ac:dyDescent="0.25">
      <c r="B204" s="34"/>
      <c r="C204" s="34"/>
      <c r="D204" s="34"/>
      <c r="E204" s="34"/>
      <c r="F204" s="34"/>
      <c r="G204" s="34"/>
      <c r="H204" s="34"/>
      <c r="I204" s="34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</row>
    <row r="205" spans="2:23" s="5" customFormat="1" ht="18" customHeight="1" x14ac:dyDescent="0.25">
      <c r="B205" s="34"/>
      <c r="C205" s="34"/>
      <c r="D205" s="34"/>
      <c r="E205" s="34"/>
      <c r="F205" s="34"/>
      <c r="G205" s="34"/>
      <c r="H205" s="34"/>
      <c r="I205" s="34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</row>
    <row r="206" spans="2:23" s="5" customFormat="1" ht="18" customHeight="1" x14ac:dyDescent="0.25">
      <c r="B206" s="34"/>
      <c r="C206" s="34"/>
      <c r="D206" s="34"/>
      <c r="E206" s="34"/>
      <c r="F206" s="34"/>
      <c r="G206" s="34"/>
      <c r="H206" s="34"/>
      <c r="I206" s="34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</row>
    <row r="207" spans="2:23" s="5" customFormat="1" ht="18" customHeight="1" x14ac:dyDescent="0.25">
      <c r="B207" s="34"/>
      <c r="C207" s="34"/>
      <c r="D207" s="34"/>
      <c r="E207" s="34"/>
      <c r="F207" s="34"/>
      <c r="G207" s="34"/>
      <c r="H207" s="34"/>
      <c r="I207" s="34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</row>
    <row r="208" spans="2:23" s="5" customFormat="1" ht="18" customHeight="1" x14ac:dyDescent="0.25">
      <c r="B208" s="34"/>
      <c r="C208" s="34"/>
      <c r="D208" s="34"/>
      <c r="E208" s="34"/>
      <c r="F208" s="34"/>
      <c r="G208" s="34"/>
      <c r="H208" s="34"/>
      <c r="I208" s="34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</row>
    <row r="209" spans="2:23" s="5" customFormat="1" ht="18" customHeight="1" x14ac:dyDescent="0.25">
      <c r="B209" s="34"/>
      <c r="C209" s="34"/>
      <c r="D209" s="34"/>
      <c r="E209" s="34"/>
      <c r="F209" s="34"/>
      <c r="G209" s="34"/>
      <c r="H209" s="34"/>
      <c r="I209" s="34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</row>
    <row r="210" spans="2:23" s="5" customFormat="1" ht="18" customHeight="1" x14ac:dyDescent="0.25">
      <c r="B210" s="34"/>
      <c r="C210" s="34"/>
      <c r="D210" s="34"/>
      <c r="E210" s="34"/>
      <c r="F210" s="34"/>
      <c r="G210" s="34"/>
      <c r="H210" s="34"/>
      <c r="I210" s="34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</row>
    <row r="211" spans="2:23" s="5" customFormat="1" ht="18" customHeight="1" x14ac:dyDescent="0.25">
      <c r="B211" s="34"/>
      <c r="C211" s="34"/>
      <c r="D211" s="34"/>
      <c r="E211" s="34"/>
      <c r="F211" s="34"/>
      <c r="G211" s="34"/>
      <c r="H211" s="34"/>
      <c r="I211" s="34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</row>
    <row r="212" spans="2:23" s="5" customFormat="1" ht="18" customHeight="1" x14ac:dyDescent="0.25">
      <c r="B212" s="34"/>
      <c r="C212" s="34"/>
      <c r="D212" s="34"/>
      <c r="E212" s="34"/>
      <c r="F212" s="34"/>
      <c r="G212" s="34"/>
      <c r="H212" s="34"/>
      <c r="I212" s="34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</row>
  </sheetData>
  <mergeCells count="21">
    <mergeCell ref="B2:E5"/>
    <mergeCell ref="F2:F9"/>
    <mergeCell ref="B25:I25"/>
    <mergeCell ref="B26:B27"/>
    <mergeCell ref="B35:I35"/>
    <mergeCell ref="B16:I16"/>
    <mergeCell ref="B17:B18"/>
    <mergeCell ref="C28:C30"/>
    <mergeCell ref="B6:E8"/>
    <mergeCell ref="B55:I55"/>
    <mergeCell ref="B56:B57"/>
    <mergeCell ref="B65:I65"/>
    <mergeCell ref="B9:B15"/>
    <mergeCell ref="C9:E15"/>
    <mergeCell ref="F10:F15"/>
    <mergeCell ref="C32:C34"/>
    <mergeCell ref="B46:B47"/>
    <mergeCell ref="C38:C40"/>
    <mergeCell ref="C42:C44"/>
    <mergeCell ref="B36:B37"/>
    <mergeCell ref="B45:I45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F0EC3-5316-4EAE-B238-8E910E599FDE}">
  <dimension ref="A1:X219"/>
  <sheetViews>
    <sheetView showGridLines="0" zoomScale="90" zoomScaleNormal="90" workbookViewId="0"/>
  </sheetViews>
  <sheetFormatPr defaultRowHeight="15" x14ac:dyDescent="0.25"/>
  <cols>
    <col min="1" max="1" width="3.7109375" style="5" customWidth="1"/>
    <col min="2" max="2" width="15.7109375" style="34" customWidth="1"/>
    <col min="3" max="3" width="18.7109375" style="34" customWidth="1"/>
    <col min="4" max="8" width="30.7109375" style="34" customWidth="1"/>
    <col min="9" max="9" width="18.7109375" style="34" customWidth="1"/>
    <col min="10" max="10" width="3.7109375" style="5" customWidth="1"/>
    <col min="11" max="11" width="9.140625" style="6"/>
    <col min="12" max="12" width="15" style="6" customWidth="1"/>
    <col min="13" max="22" width="9.140625" style="6"/>
    <col min="23" max="23" width="9.5703125" style="34" bestFit="1" customWidth="1"/>
    <col min="24" max="24" width="10.140625" style="34" bestFit="1" customWidth="1"/>
    <col min="25" max="16384" width="9.140625" style="34"/>
  </cols>
  <sheetData>
    <row r="1" spans="2:24" s="5" customFormat="1" ht="18" customHeight="1" thickBot="1" x14ac:dyDescent="0.3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2:24" ht="12" customHeight="1" x14ac:dyDescent="0.25">
      <c r="B2" s="94" t="s">
        <v>19</v>
      </c>
      <c r="C2" s="95"/>
      <c r="D2" s="95"/>
      <c r="E2" s="96"/>
      <c r="F2" s="100" t="s">
        <v>35</v>
      </c>
      <c r="G2" s="11" t="s">
        <v>17</v>
      </c>
      <c r="H2" s="12" cm="1">
        <f t="array" ref="H2">SUM(LEN(C17:I69)-LEN(SUBSTITUTE(C17:I69,"Venkatesh","")))/LEN("Venkatesh")</f>
        <v>30</v>
      </c>
      <c r="I2" s="13" t="s">
        <v>0</v>
      </c>
    </row>
    <row r="3" spans="2:24" ht="12" customHeight="1" x14ac:dyDescent="0.25">
      <c r="B3" s="97"/>
      <c r="C3" s="98"/>
      <c r="D3" s="98"/>
      <c r="E3" s="99"/>
      <c r="F3" s="101"/>
      <c r="G3" s="14" t="s">
        <v>22</v>
      </c>
      <c r="H3" s="21" cm="1">
        <f t="array" ref="H3">SUM(LEN(C17:I69)-LEN(SUBSTITUTE(C17:I69,"Prasanna","")))/LEN("Prasanna")</f>
        <v>30</v>
      </c>
      <c r="I3" s="15" t="s">
        <v>16</v>
      </c>
      <c r="W3" s="105" t="s">
        <v>50</v>
      </c>
      <c r="X3" s="105"/>
    </row>
    <row r="4" spans="2:24" ht="12" customHeight="1" x14ac:dyDescent="0.25">
      <c r="B4" s="97"/>
      <c r="C4" s="98"/>
      <c r="D4" s="98"/>
      <c r="E4" s="99"/>
      <c r="F4" s="101"/>
      <c r="G4" s="14" t="s">
        <v>23</v>
      </c>
      <c r="H4" s="20" cm="1">
        <f t="array" ref="H4">SUM(LEN(C17:I69)-LEN(SUBSTITUTE(C17:I69,"Prashant","")))/LEN("Prashant")</f>
        <v>30</v>
      </c>
      <c r="I4" s="15" t="s">
        <v>0</v>
      </c>
      <c r="W4" s="41" t="s">
        <v>27</v>
      </c>
      <c r="X4" s="42" t="s">
        <v>48</v>
      </c>
    </row>
    <row r="5" spans="2:24" ht="12" customHeight="1" x14ac:dyDescent="0.25">
      <c r="B5" s="97"/>
      <c r="C5" s="98"/>
      <c r="D5" s="98"/>
      <c r="E5" s="99"/>
      <c r="F5" s="101"/>
      <c r="G5" s="16" t="s">
        <v>24</v>
      </c>
      <c r="H5" s="20" cm="1">
        <f t="array" ref="H5">SUM(LEN(C17:I69)-LEN(SUBSTITUTE(C17:I69,"Harshith","")))/LEN("Harshith")</f>
        <v>30</v>
      </c>
      <c r="I5" s="15" t="s">
        <v>0</v>
      </c>
      <c r="W5" s="41" t="s">
        <v>26</v>
      </c>
      <c r="X5" s="42" t="s">
        <v>47</v>
      </c>
    </row>
    <row r="6" spans="2:24" ht="12" customHeight="1" x14ac:dyDescent="0.25">
      <c r="B6" s="97" t="s">
        <v>73</v>
      </c>
      <c r="C6" s="98"/>
      <c r="D6" s="98"/>
      <c r="E6" s="99"/>
      <c r="F6" s="101"/>
      <c r="G6" s="18" t="s">
        <v>25</v>
      </c>
      <c r="H6" s="20" cm="1">
        <f t="array" ref="H6">SUM(LEN(C17:I69)-LEN(SUBSTITUTE(C17:I69,"Madhan","")))/LEN("Madhan")</f>
        <v>30</v>
      </c>
      <c r="I6" s="17" t="s">
        <v>0</v>
      </c>
      <c r="W6" s="41" t="s">
        <v>28</v>
      </c>
      <c r="X6" s="42" t="s">
        <v>45</v>
      </c>
    </row>
    <row r="7" spans="2:24" ht="12" customHeight="1" x14ac:dyDescent="0.25">
      <c r="B7" s="97"/>
      <c r="C7" s="98"/>
      <c r="D7" s="98"/>
      <c r="E7" s="99"/>
      <c r="F7" s="101"/>
      <c r="G7" s="16" t="s">
        <v>27</v>
      </c>
      <c r="H7" s="20" cm="1">
        <f t="array" ref="H7">SUM(LEN(C17:I69)-LEN(SUBSTITUTE(C17:I69,"Nandish","")))/LEN("Nandish")</f>
        <v>30</v>
      </c>
      <c r="I7" s="17" t="s">
        <v>0</v>
      </c>
      <c r="W7" s="41" t="s">
        <v>22</v>
      </c>
      <c r="X7" s="42" t="s">
        <v>46</v>
      </c>
    </row>
    <row r="8" spans="2:24" ht="12" customHeight="1" thickBot="1" x14ac:dyDescent="0.3">
      <c r="B8" s="102"/>
      <c r="C8" s="103"/>
      <c r="D8" s="103"/>
      <c r="E8" s="104"/>
      <c r="F8" s="101"/>
      <c r="G8" s="19" t="s">
        <v>26</v>
      </c>
      <c r="H8" s="20" cm="1">
        <f t="array" ref="H8">SUM(LEN(C17:I69)-LEN(SUBSTITUTE(C17:I69,"Ranjith","")))/LEN("Ranjith")</f>
        <v>30</v>
      </c>
      <c r="I8" s="17" t="s">
        <v>79</v>
      </c>
      <c r="W8" s="41" t="s">
        <v>24</v>
      </c>
      <c r="X8" s="42" t="s">
        <v>44</v>
      </c>
    </row>
    <row r="9" spans="2:24" ht="12" customHeight="1" x14ac:dyDescent="0.25">
      <c r="B9" s="75" t="s">
        <v>36</v>
      </c>
      <c r="C9" s="78" t="s">
        <v>71</v>
      </c>
      <c r="D9" s="79"/>
      <c r="E9" s="80"/>
      <c r="F9" s="101"/>
      <c r="G9" s="16" t="s">
        <v>30</v>
      </c>
      <c r="H9" s="20" cm="1">
        <f t="array" ref="H9">SUM(LEN(C17:I69)-LEN(SUBSTITUTE(C17:I69,"Adith","")))/LEN("Adith")</f>
        <v>29</v>
      </c>
      <c r="I9" s="17" t="s">
        <v>15</v>
      </c>
      <c r="W9" s="48" t="s">
        <v>26</v>
      </c>
      <c r="X9" s="49" t="s">
        <v>54</v>
      </c>
    </row>
    <row r="10" spans="2:24" ht="12" customHeight="1" x14ac:dyDescent="0.25">
      <c r="B10" s="76"/>
      <c r="C10" s="81"/>
      <c r="D10" s="82"/>
      <c r="E10" s="83"/>
      <c r="F10" s="87">
        <v>20</v>
      </c>
      <c r="G10" s="16" t="s">
        <v>28</v>
      </c>
      <c r="H10" s="20" cm="1">
        <f t="array" ref="H10">SUM(LEN(C17:I69)-LEN(SUBSTITUTE(C17:I69,"Darshan","")))/LEN("Darshan")</f>
        <v>32</v>
      </c>
      <c r="I10" s="15" t="s">
        <v>80</v>
      </c>
      <c r="W10" s="47" t="s">
        <v>28</v>
      </c>
      <c r="X10" s="47" t="s">
        <v>48</v>
      </c>
    </row>
    <row r="11" spans="2:24" ht="12" customHeight="1" x14ac:dyDescent="0.25">
      <c r="B11" s="76"/>
      <c r="C11" s="81"/>
      <c r="D11" s="82"/>
      <c r="E11" s="83"/>
      <c r="F11" s="87"/>
      <c r="G11" s="19" t="s">
        <v>31</v>
      </c>
      <c r="H11" s="20" cm="1">
        <f t="array" ref="H11">SUM(LEN(C17:I69)-LEN(SUBSTITUTE(C17:I69,"Basavaraj","")))/LEN("Basavaraj")</f>
        <v>30</v>
      </c>
      <c r="I11" s="17" t="s">
        <v>0</v>
      </c>
      <c r="W11" s="47" t="s">
        <v>22</v>
      </c>
      <c r="X11" s="47" t="s">
        <v>47</v>
      </c>
    </row>
    <row r="12" spans="2:24" ht="12" customHeight="1" x14ac:dyDescent="0.25">
      <c r="B12" s="76"/>
      <c r="C12" s="81"/>
      <c r="D12" s="82"/>
      <c r="E12" s="83"/>
      <c r="F12" s="87"/>
      <c r="G12" s="16" t="s">
        <v>38</v>
      </c>
      <c r="H12" s="20" cm="1">
        <f t="array" ref="H12">SUM(LEN(C17:I69)-LEN(SUBSTITUTE(C17:I69,"Gowtham","")))/LEN("Gowtham")</f>
        <v>30</v>
      </c>
      <c r="I12" s="17" t="s">
        <v>0</v>
      </c>
      <c r="W12" s="47" t="s">
        <v>24</v>
      </c>
      <c r="X12" s="47" t="s">
        <v>45</v>
      </c>
    </row>
    <row r="13" spans="2:24" ht="12" customHeight="1" x14ac:dyDescent="0.25">
      <c r="B13" s="76"/>
      <c r="C13" s="81"/>
      <c r="D13" s="82"/>
      <c r="E13" s="83"/>
      <c r="F13" s="87"/>
      <c r="G13" s="38" t="s">
        <v>39</v>
      </c>
      <c r="H13" s="20" cm="1">
        <f t="array" ref="H13">SUM(LEN(C17:I69)-LEN(SUBSTITUTE(C17:I69,"Jayant","")))/LEN("Jayant")</f>
        <v>30</v>
      </c>
      <c r="I13" s="17" t="s">
        <v>0</v>
      </c>
    </row>
    <row r="14" spans="2:24" ht="12" customHeight="1" x14ac:dyDescent="0.25">
      <c r="B14" s="76"/>
      <c r="C14" s="81"/>
      <c r="D14" s="82"/>
      <c r="E14" s="83"/>
      <c r="F14" s="87"/>
      <c r="G14" s="38" t="s">
        <v>53</v>
      </c>
      <c r="H14" s="20" cm="1">
        <f t="array" ref="H14">SUM(LEN(C17:I69)-LEN(SUBSTITUTE(C17:I69,"Subeesh","")))/LEN("Subeesh")</f>
        <v>30</v>
      </c>
      <c r="I14" s="17" t="s">
        <v>0</v>
      </c>
    </row>
    <row r="15" spans="2:24" ht="12" customHeight="1" thickBot="1" x14ac:dyDescent="0.3">
      <c r="B15" s="77"/>
      <c r="C15" s="84"/>
      <c r="D15" s="85"/>
      <c r="E15" s="86"/>
      <c r="F15" s="88"/>
      <c r="G15" s="27" t="s">
        <v>72</v>
      </c>
      <c r="H15" s="20" cm="1">
        <f t="array" ref="H15">SUM(LEN(C17:I69)-LEN(SUBSTITUTE(C17:I69,"Prajwal","")))/LEN("Prajwal")</f>
        <v>30</v>
      </c>
      <c r="I15" s="17" t="s">
        <v>0</v>
      </c>
    </row>
    <row r="16" spans="2:24" ht="3" customHeight="1" thickBot="1" x14ac:dyDescent="0.3">
      <c r="B16" s="68"/>
      <c r="C16" s="73"/>
      <c r="D16" s="73"/>
      <c r="E16" s="73"/>
      <c r="F16" s="73"/>
      <c r="G16" s="73"/>
      <c r="H16" s="73"/>
      <c r="I16" s="74"/>
    </row>
    <row r="17" spans="2:22" s="5" customFormat="1" ht="15.75" thickBot="1" x14ac:dyDescent="0.3">
      <c r="B17" s="71" t="s">
        <v>81</v>
      </c>
      <c r="C17" s="1" t="s">
        <v>1</v>
      </c>
      <c r="D17" s="9" t="s">
        <v>2</v>
      </c>
      <c r="E17" s="2" t="s">
        <v>3</v>
      </c>
      <c r="F17" s="25" t="s">
        <v>4</v>
      </c>
      <c r="G17" s="2" t="s">
        <v>5</v>
      </c>
      <c r="H17" s="2" t="s">
        <v>6</v>
      </c>
      <c r="I17" s="1" t="s">
        <v>7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2:22" s="5" customFormat="1" ht="15.75" thickBot="1" x14ac:dyDescent="0.3">
      <c r="B18" s="72"/>
      <c r="C18" s="55">
        <v>45956</v>
      </c>
      <c r="D18" s="56">
        <f t="shared" ref="D18:F18" si="0">C18+1</f>
        <v>45957</v>
      </c>
      <c r="E18" s="57">
        <f t="shared" si="0"/>
        <v>45958</v>
      </c>
      <c r="F18" s="56">
        <f t="shared" si="0"/>
        <v>45959</v>
      </c>
      <c r="G18" s="57">
        <f>F18+1</f>
        <v>45960</v>
      </c>
      <c r="H18" s="58">
        <f t="shared" ref="H18:I18" si="1">G18+1</f>
        <v>45961</v>
      </c>
      <c r="I18" s="55">
        <f t="shared" si="1"/>
        <v>45962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2:22" s="5" customFormat="1" ht="21" customHeight="1" x14ac:dyDescent="0.25">
      <c r="B19" s="24" t="s">
        <v>8</v>
      </c>
      <c r="C19" s="37" t="s">
        <v>26</v>
      </c>
      <c r="D19" s="30" t="s">
        <v>26</v>
      </c>
      <c r="E19" s="30" t="s">
        <v>22</v>
      </c>
      <c r="F19" s="30" t="s">
        <v>22</v>
      </c>
      <c r="G19" s="30" t="s">
        <v>22</v>
      </c>
      <c r="H19" s="30" t="s">
        <v>26</v>
      </c>
      <c r="I19" s="37" t="s">
        <v>26</v>
      </c>
      <c r="K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spans="2:22" s="5" customFormat="1" ht="21" customHeight="1" x14ac:dyDescent="0.25">
      <c r="B20" s="24" t="s">
        <v>21</v>
      </c>
      <c r="C20" s="26"/>
      <c r="D20" s="35" t="s">
        <v>82</v>
      </c>
      <c r="E20" s="35" t="s">
        <v>83</v>
      </c>
      <c r="F20" s="35" t="s">
        <v>82</v>
      </c>
      <c r="G20" s="35" t="s">
        <v>82</v>
      </c>
      <c r="H20" s="35" t="s">
        <v>82</v>
      </c>
      <c r="I20" s="26"/>
      <c r="K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spans="2:22" s="5" customFormat="1" ht="21" customHeight="1" x14ac:dyDescent="0.25">
      <c r="B21" s="22" t="s">
        <v>29</v>
      </c>
      <c r="C21" s="32"/>
      <c r="D21" s="53" t="s">
        <v>62</v>
      </c>
      <c r="E21" s="54" t="s">
        <v>62</v>
      </c>
      <c r="F21" s="54" t="s">
        <v>62</v>
      </c>
      <c r="G21" s="35" t="s">
        <v>88</v>
      </c>
      <c r="H21" s="36" t="s">
        <v>59</v>
      </c>
      <c r="I21" s="30"/>
      <c r="K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spans="2:22" s="5" customFormat="1" ht="21" customHeight="1" x14ac:dyDescent="0.25">
      <c r="B22" s="10" t="s">
        <v>9</v>
      </c>
      <c r="C22" s="26" t="s">
        <v>24</v>
      </c>
      <c r="D22" s="59" t="s">
        <v>33</v>
      </c>
      <c r="E22" s="59" t="s">
        <v>33</v>
      </c>
      <c r="F22" s="59" t="s">
        <v>33</v>
      </c>
      <c r="G22" s="59" t="s">
        <v>33</v>
      </c>
      <c r="H22" s="59" t="s">
        <v>33</v>
      </c>
      <c r="I22" s="26" t="s">
        <v>22</v>
      </c>
      <c r="K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spans="2:22" s="5" customFormat="1" ht="21" customHeight="1" x14ac:dyDescent="0.25">
      <c r="B23" s="10" t="s">
        <v>20</v>
      </c>
      <c r="C23" s="26"/>
      <c r="D23" s="29" t="s">
        <v>34</v>
      </c>
      <c r="E23" s="29" t="s">
        <v>34</v>
      </c>
      <c r="F23" s="29" t="s">
        <v>89</v>
      </c>
      <c r="G23" s="29" t="s">
        <v>34</v>
      </c>
      <c r="H23" s="29" t="s">
        <v>34</v>
      </c>
      <c r="I23" s="26"/>
      <c r="K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spans="2:22" s="5" customFormat="1" ht="21" customHeight="1" thickBot="1" x14ac:dyDescent="0.3">
      <c r="B24" s="23" t="s">
        <v>13</v>
      </c>
      <c r="C24" s="30" t="s">
        <v>85</v>
      </c>
      <c r="D24" s="60" t="s">
        <v>84</v>
      </c>
      <c r="E24" s="60" t="s">
        <v>84</v>
      </c>
      <c r="F24" s="60" t="s">
        <v>84</v>
      </c>
      <c r="G24" s="28" t="s">
        <v>87</v>
      </c>
      <c r="H24" s="60" t="s">
        <v>86</v>
      </c>
      <c r="I24" s="30" t="s">
        <v>28</v>
      </c>
      <c r="K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2:22" s="5" customFormat="1" ht="3" customHeight="1" thickBot="1" x14ac:dyDescent="0.3">
      <c r="B25" s="68"/>
      <c r="C25" s="73"/>
      <c r="D25" s="73"/>
      <c r="E25" s="73"/>
      <c r="F25" s="73"/>
      <c r="G25" s="73"/>
      <c r="H25" s="73"/>
      <c r="I25" s="74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spans="2:22" s="5" customFormat="1" ht="15.75" thickBot="1" x14ac:dyDescent="0.3">
      <c r="B26" s="71" t="s">
        <v>14</v>
      </c>
      <c r="C26" s="1" t="s">
        <v>1</v>
      </c>
      <c r="D26" s="9" t="s">
        <v>2</v>
      </c>
      <c r="E26" s="2" t="s">
        <v>3</v>
      </c>
      <c r="F26" s="25" t="s">
        <v>4</v>
      </c>
      <c r="G26" s="2" t="s">
        <v>5</v>
      </c>
      <c r="H26" s="2" t="s">
        <v>6</v>
      </c>
      <c r="I26" s="1" t="s">
        <v>7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spans="2:22" s="5" customFormat="1" ht="15.75" thickBot="1" x14ac:dyDescent="0.3">
      <c r="B27" s="72"/>
      <c r="C27" s="55">
        <f>I18+1</f>
        <v>45963</v>
      </c>
      <c r="D27" s="56">
        <f t="shared" ref="D27:F27" si="2">C27+1</f>
        <v>45964</v>
      </c>
      <c r="E27" s="57">
        <f t="shared" si="2"/>
        <v>45965</v>
      </c>
      <c r="F27" s="56">
        <f t="shared" si="2"/>
        <v>45966</v>
      </c>
      <c r="G27" s="57">
        <f>F27+1</f>
        <v>45967</v>
      </c>
      <c r="H27" s="58">
        <f t="shared" ref="H27:I27" si="3">G27+1</f>
        <v>45968</v>
      </c>
      <c r="I27" s="55">
        <f t="shared" si="3"/>
        <v>45969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spans="2:22" s="5" customFormat="1" ht="21" customHeight="1" x14ac:dyDescent="0.25">
      <c r="B28" s="24" t="s">
        <v>8</v>
      </c>
      <c r="C28" s="37" t="s">
        <v>26</v>
      </c>
      <c r="D28" s="61" t="s">
        <v>90</v>
      </c>
      <c r="E28" s="30" t="s">
        <v>22</v>
      </c>
      <c r="F28" s="30" t="s">
        <v>22</v>
      </c>
      <c r="G28" s="30" t="s">
        <v>26</v>
      </c>
      <c r="H28" s="30" t="s">
        <v>26</v>
      </c>
      <c r="I28" s="37" t="s">
        <v>26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spans="2:22" s="5" customFormat="1" ht="21" customHeight="1" x14ac:dyDescent="0.25">
      <c r="B29" s="24" t="s">
        <v>21</v>
      </c>
      <c r="C29" s="26"/>
      <c r="D29" s="35" t="s">
        <v>72</v>
      </c>
      <c r="E29" s="35" t="s">
        <v>91</v>
      </c>
      <c r="F29" s="35" t="s">
        <v>77</v>
      </c>
      <c r="G29" s="35" t="s">
        <v>78</v>
      </c>
      <c r="H29" s="35" t="s">
        <v>78</v>
      </c>
      <c r="I29" s="2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spans="2:22" s="5" customFormat="1" ht="21" customHeight="1" x14ac:dyDescent="0.25">
      <c r="B30" s="22" t="s">
        <v>29</v>
      </c>
      <c r="C30" s="32"/>
      <c r="D30" s="35" t="s">
        <v>76</v>
      </c>
      <c r="E30" s="35" t="s">
        <v>76</v>
      </c>
      <c r="F30" s="35" t="s">
        <v>76</v>
      </c>
      <c r="G30" s="35" t="s">
        <v>70</v>
      </c>
      <c r="H30" s="36" t="s">
        <v>70</v>
      </c>
      <c r="I30" s="30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spans="2:22" s="5" customFormat="1" ht="21" customHeight="1" x14ac:dyDescent="0.25">
      <c r="B31" s="10" t="s">
        <v>9</v>
      </c>
      <c r="C31" s="26" t="s">
        <v>28</v>
      </c>
      <c r="D31" s="59" t="s">
        <v>41</v>
      </c>
      <c r="E31" s="32" t="s">
        <v>41</v>
      </c>
      <c r="F31" s="32" t="s">
        <v>41</v>
      </c>
      <c r="G31" s="32" t="s">
        <v>41</v>
      </c>
      <c r="H31" s="32" t="s">
        <v>41</v>
      </c>
      <c r="I31" s="26" t="s">
        <v>28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2:22" s="5" customFormat="1" ht="21" customHeight="1" x14ac:dyDescent="0.25">
      <c r="B32" s="10" t="s">
        <v>20</v>
      </c>
      <c r="C32" s="26"/>
      <c r="D32" s="29" t="s">
        <v>34</v>
      </c>
      <c r="E32" s="29" t="s">
        <v>34</v>
      </c>
      <c r="F32" s="29" t="s">
        <v>66</v>
      </c>
      <c r="G32" s="29" t="s">
        <v>66</v>
      </c>
      <c r="H32" s="29" t="s">
        <v>66</v>
      </c>
      <c r="I32" s="2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2:22" s="5" customFormat="1" ht="21" customHeight="1" thickBot="1" x14ac:dyDescent="0.3">
      <c r="B33" s="23" t="s">
        <v>13</v>
      </c>
      <c r="C33" s="30" t="s">
        <v>30</v>
      </c>
      <c r="D33" s="28" t="s">
        <v>74</v>
      </c>
      <c r="E33" s="28" t="s">
        <v>74</v>
      </c>
      <c r="F33" s="28" t="s">
        <v>74</v>
      </c>
      <c r="G33" s="28" t="s">
        <v>92</v>
      </c>
      <c r="H33" s="28" t="s">
        <v>75</v>
      </c>
      <c r="I33" s="30" t="s">
        <v>22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spans="2:22" s="5" customFormat="1" ht="3" customHeight="1" thickBot="1" x14ac:dyDescent="0.3">
      <c r="B34" s="68"/>
      <c r="C34" s="73"/>
      <c r="D34" s="73"/>
      <c r="E34" s="73"/>
      <c r="F34" s="73"/>
      <c r="G34" s="73"/>
      <c r="H34" s="73"/>
      <c r="I34" s="74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spans="2:22" s="5" customFormat="1" ht="15.75" thickBot="1" x14ac:dyDescent="0.3">
      <c r="B35" s="71" t="s">
        <v>10</v>
      </c>
      <c r="C35" s="1" t="s">
        <v>1</v>
      </c>
      <c r="D35" s="9" t="s">
        <v>2</v>
      </c>
      <c r="E35" s="2" t="s">
        <v>3</v>
      </c>
      <c r="F35" s="25" t="s">
        <v>4</v>
      </c>
      <c r="G35" s="2" t="s">
        <v>5</v>
      </c>
      <c r="H35" s="2" t="s">
        <v>6</v>
      </c>
      <c r="I35" s="1" t="s">
        <v>7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spans="2:22" s="5" customFormat="1" ht="15.75" thickBot="1" x14ac:dyDescent="0.3">
      <c r="B36" s="72"/>
      <c r="C36" s="55">
        <f>I27+1</f>
        <v>45970</v>
      </c>
      <c r="D36" s="56">
        <f t="shared" ref="D36:F36" si="4">C36+1</f>
        <v>45971</v>
      </c>
      <c r="E36" s="57">
        <f t="shared" si="4"/>
        <v>45972</v>
      </c>
      <c r="F36" s="56">
        <f t="shared" si="4"/>
        <v>45973</v>
      </c>
      <c r="G36" s="57">
        <f>F36+1</f>
        <v>45974</v>
      </c>
      <c r="H36" s="58">
        <f t="shared" ref="H36:I36" si="5">G36+1</f>
        <v>45975</v>
      </c>
      <c r="I36" s="55">
        <f t="shared" si="5"/>
        <v>45976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spans="2:22" s="5" customFormat="1" ht="21" customHeight="1" x14ac:dyDescent="0.25">
      <c r="B37" s="24" t="s">
        <v>8</v>
      </c>
      <c r="C37" s="37" t="s">
        <v>26</v>
      </c>
      <c r="D37" s="30" t="s">
        <v>26</v>
      </c>
      <c r="E37" s="30" t="s">
        <v>22</v>
      </c>
      <c r="F37" s="30" t="s">
        <v>22</v>
      </c>
      <c r="G37" s="30" t="s">
        <v>26</v>
      </c>
      <c r="H37" s="30" t="s">
        <v>26</v>
      </c>
      <c r="I37" s="37" t="s">
        <v>26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spans="2:22" s="5" customFormat="1" ht="21" customHeight="1" x14ac:dyDescent="0.25">
      <c r="B38" s="24" t="s">
        <v>21</v>
      </c>
      <c r="C38" s="26"/>
      <c r="D38" s="35" t="s">
        <v>77</v>
      </c>
      <c r="E38" s="35" t="s">
        <v>77</v>
      </c>
      <c r="F38" s="35" t="s">
        <v>77</v>
      </c>
      <c r="G38" s="35" t="s">
        <v>78</v>
      </c>
      <c r="H38" s="35" t="s">
        <v>78</v>
      </c>
      <c r="I38" s="2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spans="2:22" s="5" customFormat="1" ht="21" customHeight="1" x14ac:dyDescent="0.25">
      <c r="B39" s="22" t="s">
        <v>29</v>
      </c>
      <c r="C39" s="32"/>
      <c r="D39" s="35" t="s">
        <v>76</v>
      </c>
      <c r="E39" s="35" t="s">
        <v>76</v>
      </c>
      <c r="F39" s="35" t="s">
        <v>76</v>
      </c>
      <c r="G39" s="35" t="s">
        <v>95</v>
      </c>
      <c r="H39" s="36" t="s">
        <v>70</v>
      </c>
      <c r="I39" s="30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spans="2:22" s="5" customFormat="1" ht="21" customHeight="1" x14ac:dyDescent="0.25">
      <c r="B40" s="10" t="s">
        <v>9</v>
      </c>
      <c r="C40" s="26" t="s">
        <v>28</v>
      </c>
      <c r="D40" s="59" t="s">
        <v>94</v>
      </c>
      <c r="E40" s="59" t="s">
        <v>94</v>
      </c>
      <c r="F40" s="32" t="s">
        <v>41</v>
      </c>
      <c r="G40" s="32" t="s">
        <v>41</v>
      </c>
      <c r="H40" s="32" t="s">
        <v>41</v>
      </c>
      <c r="I40" s="26" t="s">
        <v>28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2:22" s="5" customFormat="1" ht="21" customHeight="1" x14ac:dyDescent="0.25">
      <c r="B41" s="10" t="s">
        <v>20</v>
      </c>
      <c r="C41" s="26"/>
      <c r="D41" s="29" t="s">
        <v>34</v>
      </c>
      <c r="E41" s="29" t="s">
        <v>34</v>
      </c>
      <c r="F41" s="29" t="s">
        <v>34</v>
      </c>
      <c r="G41" s="29" t="s">
        <v>34</v>
      </c>
      <c r="H41" s="29" t="s">
        <v>34</v>
      </c>
      <c r="I41" s="2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2:22" s="5" customFormat="1" ht="21" customHeight="1" thickBot="1" x14ac:dyDescent="0.3">
      <c r="B42" s="23" t="s">
        <v>13</v>
      </c>
      <c r="C42" s="30" t="s">
        <v>30</v>
      </c>
      <c r="D42" s="28" t="s">
        <v>93</v>
      </c>
      <c r="E42" s="28" t="s">
        <v>74</v>
      </c>
      <c r="F42" s="28" t="s">
        <v>74</v>
      </c>
      <c r="G42" s="28" t="s">
        <v>96</v>
      </c>
      <c r="H42" s="28" t="s">
        <v>75</v>
      </c>
      <c r="I42" s="30" t="s">
        <v>22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2:22" s="5" customFormat="1" ht="3" customHeight="1" thickBot="1" x14ac:dyDescent="0.3">
      <c r="B43" s="68"/>
      <c r="C43" s="73"/>
      <c r="D43" s="73"/>
      <c r="E43" s="73"/>
      <c r="F43" s="73"/>
      <c r="G43" s="73"/>
      <c r="H43" s="73"/>
      <c r="I43" s="74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2:22" s="5" customFormat="1" ht="15.75" thickBot="1" x14ac:dyDescent="0.3">
      <c r="B44" s="71" t="s">
        <v>11</v>
      </c>
      <c r="C44" s="1" t="s">
        <v>1</v>
      </c>
      <c r="D44" s="9" t="s">
        <v>2</v>
      </c>
      <c r="E44" s="2" t="s">
        <v>3</v>
      </c>
      <c r="F44" s="25" t="s">
        <v>4</v>
      </c>
      <c r="G44" s="2" t="s">
        <v>5</v>
      </c>
      <c r="H44" s="2" t="s">
        <v>6</v>
      </c>
      <c r="I44" s="1" t="s">
        <v>7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2:22" s="5" customFormat="1" ht="15.75" thickBot="1" x14ac:dyDescent="0.3">
      <c r="B45" s="72"/>
      <c r="C45" s="55">
        <f>I36+1</f>
        <v>45977</v>
      </c>
      <c r="D45" s="56">
        <f t="shared" ref="D45:F45" si="6">C45+1</f>
        <v>45978</v>
      </c>
      <c r="E45" s="57">
        <f t="shared" si="6"/>
        <v>45979</v>
      </c>
      <c r="F45" s="56">
        <f t="shared" si="6"/>
        <v>45980</v>
      </c>
      <c r="G45" s="57">
        <f>F45+1</f>
        <v>45981</v>
      </c>
      <c r="H45" s="58">
        <f t="shared" ref="H45:I45" si="7">G45+1</f>
        <v>45982</v>
      </c>
      <c r="I45" s="55">
        <f t="shared" si="7"/>
        <v>45983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2:22" s="5" customFormat="1" ht="21" customHeight="1" x14ac:dyDescent="0.25">
      <c r="B46" s="43" t="s">
        <v>8</v>
      </c>
      <c r="C46" s="37" t="s">
        <v>26</v>
      </c>
      <c r="D46" s="30" t="s">
        <v>26</v>
      </c>
      <c r="E46" s="30" t="s">
        <v>22</v>
      </c>
      <c r="F46" s="30" t="s">
        <v>22</v>
      </c>
      <c r="G46" s="30" t="s">
        <v>26</v>
      </c>
      <c r="H46" s="30" t="s">
        <v>26</v>
      </c>
      <c r="I46" s="37" t="s">
        <v>26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2:22" s="5" customFormat="1" ht="21" customHeight="1" x14ac:dyDescent="0.25">
      <c r="B47" s="43" t="s">
        <v>21</v>
      </c>
      <c r="C47" s="26"/>
      <c r="D47" s="35" t="s">
        <v>77</v>
      </c>
      <c r="E47" s="35" t="s">
        <v>77</v>
      </c>
      <c r="F47" s="35" t="s">
        <v>77</v>
      </c>
      <c r="G47" s="35" t="s">
        <v>78</v>
      </c>
      <c r="H47" s="35" t="s">
        <v>78</v>
      </c>
      <c r="I47" s="2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2:22" s="5" customFormat="1" ht="21" customHeight="1" x14ac:dyDescent="0.25">
      <c r="B48" s="44" t="s">
        <v>29</v>
      </c>
      <c r="C48" s="32"/>
      <c r="D48" s="35" t="s">
        <v>76</v>
      </c>
      <c r="E48" s="35" t="s">
        <v>76</v>
      </c>
      <c r="F48" s="35" t="s">
        <v>76</v>
      </c>
      <c r="G48" s="35" t="s">
        <v>76</v>
      </c>
      <c r="H48" s="36" t="s">
        <v>70</v>
      </c>
      <c r="I48" s="30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2:22" s="5" customFormat="1" ht="21" customHeight="1" x14ac:dyDescent="0.25">
      <c r="B49" s="10" t="s">
        <v>9</v>
      </c>
      <c r="C49" s="26" t="s">
        <v>28</v>
      </c>
      <c r="D49" s="59" t="s">
        <v>41</v>
      </c>
      <c r="E49" s="32" t="s">
        <v>41</v>
      </c>
      <c r="F49" s="32" t="s">
        <v>41</v>
      </c>
      <c r="G49" s="32" t="s">
        <v>41</v>
      </c>
      <c r="H49" s="32" t="s">
        <v>41</v>
      </c>
      <c r="I49" s="26" t="s">
        <v>28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2:22" s="5" customFormat="1" ht="21" customHeight="1" x14ac:dyDescent="0.25">
      <c r="B50" s="10" t="s">
        <v>20</v>
      </c>
      <c r="C50" s="26"/>
      <c r="D50" s="29" t="s">
        <v>34</v>
      </c>
      <c r="E50" s="29" t="s">
        <v>34</v>
      </c>
      <c r="F50" s="29" t="s">
        <v>34</v>
      </c>
      <c r="G50" s="29" t="s">
        <v>34</v>
      </c>
      <c r="H50" s="29" t="s">
        <v>34</v>
      </c>
      <c r="I50" s="2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2:22" s="5" customFormat="1" ht="21" customHeight="1" thickBot="1" x14ac:dyDescent="0.3">
      <c r="B51" s="23" t="s">
        <v>13</v>
      </c>
      <c r="C51" s="30" t="s">
        <v>30</v>
      </c>
      <c r="D51" s="28" t="s">
        <v>74</v>
      </c>
      <c r="E51" s="28" t="s">
        <v>74</v>
      </c>
      <c r="F51" s="28" t="s">
        <v>74</v>
      </c>
      <c r="G51" s="28" t="s">
        <v>74</v>
      </c>
      <c r="H51" s="28" t="s">
        <v>75</v>
      </c>
      <c r="I51" s="30" t="s">
        <v>22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  <row r="52" spans="2:22" s="5" customFormat="1" ht="3" customHeight="1" thickBot="1" x14ac:dyDescent="0.3">
      <c r="B52" s="68"/>
      <c r="C52" s="73"/>
      <c r="D52" s="73"/>
      <c r="E52" s="73"/>
      <c r="F52" s="73"/>
      <c r="G52" s="73"/>
      <c r="H52" s="73"/>
      <c r="I52" s="74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spans="2:22" s="5" customFormat="1" ht="15.75" thickBot="1" x14ac:dyDescent="0.3">
      <c r="B53" s="71" t="s">
        <v>12</v>
      </c>
      <c r="C53" s="1" t="s">
        <v>1</v>
      </c>
      <c r="D53" s="9" t="s">
        <v>2</v>
      </c>
      <c r="E53" s="2" t="s">
        <v>3</v>
      </c>
      <c r="F53" s="25" t="s">
        <v>4</v>
      </c>
      <c r="G53" s="2" t="s">
        <v>5</v>
      </c>
      <c r="H53" s="2" t="s">
        <v>6</v>
      </c>
      <c r="I53" s="1" t="s">
        <v>7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</row>
    <row r="54" spans="2:22" s="5" customFormat="1" ht="15.75" thickBot="1" x14ac:dyDescent="0.3">
      <c r="B54" s="72"/>
      <c r="C54" s="55">
        <f>I45+1</f>
        <v>45984</v>
      </c>
      <c r="D54" s="56">
        <f t="shared" ref="D54:F54" si="8">C54+1</f>
        <v>45985</v>
      </c>
      <c r="E54" s="57">
        <f t="shared" si="8"/>
        <v>45986</v>
      </c>
      <c r="F54" s="56">
        <f t="shared" si="8"/>
        <v>45987</v>
      </c>
      <c r="G54" s="57">
        <f>F54+1</f>
        <v>45988</v>
      </c>
      <c r="H54" s="58">
        <f t="shared" ref="H54:I54" si="9">G54+1</f>
        <v>45989</v>
      </c>
      <c r="I54" s="55">
        <f t="shared" si="9"/>
        <v>45990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 spans="2:22" s="5" customFormat="1" ht="21" customHeight="1" x14ac:dyDescent="0.25">
      <c r="B55" s="24" t="s">
        <v>8</v>
      </c>
      <c r="C55" s="37" t="s">
        <v>26</v>
      </c>
      <c r="D55" s="30" t="s">
        <v>26</v>
      </c>
      <c r="E55" s="30" t="s">
        <v>22</v>
      </c>
      <c r="F55" s="30" t="s">
        <v>22</v>
      </c>
      <c r="G55" s="30" t="s">
        <v>26</v>
      </c>
      <c r="H55" s="30" t="s">
        <v>26</v>
      </c>
      <c r="I55" s="37" t="s">
        <v>26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</row>
    <row r="56" spans="2:22" s="5" customFormat="1" ht="21" customHeight="1" x14ac:dyDescent="0.25">
      <c r="B56" s="24" t="s">
        <v>21</v>
      </c>
      <c r="C56" s="26"/>
      <c r="D56" s="35" t="s">
        <v>77</v>
      </c>
      <c r="E56" s="35" t="s">
        <v>77</v>
      </c>
      <c r="F56" s="35" t="s">
        <v>77</v>
      </c>
      <c r="G56" s="35" t="s">
        <v>78</v>
      </c>
      <c r="H56" s="35" t="s">
        <v>78</v>
      </c>
      <c r="I56" s="2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 spans="2:22" s="5" customFormat="1" ht="21" customHeight="1" x14ac:dyDescent="0.25">
      <c r="B57" s="22" t="s">
        <v>29</v>
      </c>
      <c r="C57" s="32"/>
      <c r="D57" s="35" t="s">
        <v>76</v>
      </c>
      <c r="E57" s="35" t="s">
        <v>76</v>
      </c>
      <c r="F57" s="35" t="s">
        <v>76</v>
      </c>
      <c r="G57" s="35" t="s">
        <v>76</v>
      </c>
      <c r="H57" s="36" t="s">
        <v>70</v>
      </c>
      <c r="I57" s="30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</row>
    <row r="58" spans="2:22" s="5" customFormat="1" ht="21" customHeight="1" x14ac:dyDescent="0.25">
      <c r="B58" s="10" t="s">
        <v>9</v>
      </c>
      <c r="C58" s="26" t="s">
        <v>28</v>
      </c>
      <c r="D58" s="59" t="s">
        <v>41</v>
      </c>
      <c r="E58" s="32" t="s">
        <v>41</v>
      </c>
      <c r="F58" s="32" t="s">
        <v>41</v>
      </c>
      <c r="G58" s="32" t="s">
        <v>41</v>
      </c>
      <c r="H58" s="32" t="s">
        <v>41</v>
      </c>
      <c r="I58" s="26" t="s">
        <v>28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r="59" spans="2:22" s="5" customFormat="1" ht="21" customHeight="1" x14ac:dyDescent="0.25">
      <c r="B59" s="10" t="s">
        <v>20</v>
      </c>
      <c r="C59" s="26"/>
      <c r="D59" s="29" t="s">
        <v>34</v>
      </c>
      <c r="E59" s="29" t="s">
        <v>34</v>
      </c>
      <c r="F59" s="29" t="s">
        <v>34</v>
      </c>
      <c r="G59" s="29" t="s">
        <v>34</v>
      </c>
      <c r="H59" s="29" t="s">
        <v>34</v>
      </c>
      <c r="I59" s="2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</row>
    <row r="60" spans="2:22" s="5" customFormat="1" ht="21" customHeight="1" thickBot="1" x14ac:dyDescent="0.3">
      <c r="B60" s="23" t="s">
        <v>13</v>
      </c>
      <c r="C60" s="30" t="s">
        <v>30</v>
      </c>
      <c r="D60" s="28" t="s">
        <v>74</v>
      </c>
      <c r="E60" s="28" t="s">
        <v>74</v>
      </c>
      <c r="F60" s="28" t="s">
        <v>74</v>
      </c>
      <c r="G60" s="28" t="s">
        <v>74</v>
      </c>
      <c r="H60" s="28" t="s">
        <v>75</v>
      </c>
      <c r="I60" s="30" t="s">
        <v>22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 spans="2:22" s="5" customFormat="1" ht="3" customHeight="1" thickBot="1" x14ac:dyDescent="0.3">
      <c r="B61" s="68"/>
      <c r="C61" s="73"/>
      <c r="D61" s="73"/>
      <c r="E61" s="73"/>
      <c r="F61" s="73"/>
      <c r="G61" s="73"/>
      <c r="H61" s="73"/>
      <c r="I61" s="74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 spans="2:22" s="5" customFormat="1" ht="15.75" thickBot="1" x14ac:dyDescent="0.3">
      <c r="B62" s="71" t="s">
        <v>43</v>
      </c>
      <c r="C62" s="1" t="s">
        <v>1</v>
      </c>
      <c r="D62" s="9" t="s">
        <v>2</v>
      </c>
      <c r="E62" s="2" t="s">
        <v>3</v>
      </c>
      <c r="F62" s="25" t="s">
        <v>4</v>
      </c>
      <c r="G62" s="2" t="s">
        <v>5</v>
      </c>
      <c r="H62" s="2" t="s">
        <v>6</v>
      </c>
      <c r="I62" s="1" t="s">
        <v>7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 spans="2:22" s="5" customFormat="1" ht="15.75" thickBot="1" x14ac:dyDescent="0.3">
      <c r="B63" s="72"/>
      <c r="C63" s="55">
        <f>I54+1</f>
        <v>45991</v>
      </c>
      <c r="D63" s="56">
        <f t="shared" ref="D63:F63" si="10">C63+1</f>
        <v>45992</v>
      </c>
      <c r="E63" s="57">
        <f t="shared" si="10"/>
        <v>45993</v>
      </c>
      <c r="F63" s="56">
        <f t="shared" si="10"/>
        <v>45994</v>
      </c>
      <c r="G63" s="57">
        <f>F63+1</f>
        <v>45995</v>
      </c>
      <c r="H63" s="58">
        <f t="shared" ref="H63:I63" si="11">G63+1</f>
        <v>45996</v>
      </c>
      <c r="I63" s="55">
        <f t="shared" si="11"/>
        <v>45997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</row>
    <row r="64" spans="2:22" s="5" customFormat="1" ht="21" customHeight="1" x14ac:dyDescent="0.25">
      <c r="B64" s="24" t="s">
        <v>8</v>
      </c>
      <c r="C64" s="37" t="s">
        <v>26</v>
      </c>
      <c r="D64" s="30" t="s">
        <v>26</v>
      </c>
      <c r="E64" s="30" t="s">
        <v>22</v>
      </c>
      <c r="F64" s="30" t="s">
        <v>22</v>
      </c>
      <c r="G64" s="30" t="s">
        <v>26</v>
      </c>
      <c r="H64" s="30" t="s">
        <v>26</v>
      </c>
      <c r="I64" s="37" t="s">
        <v>26</v>
      </c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 spans="2:22" s="5" customFormat="1" ht="21" customHeight="1" x14ac:dyDescent="0.25">
      <c r="B65" s="24" t="s">
        <v>21</v>
      </c>
      <c r="C65" s="26"/>
      <c r="D65" s="35" t="s">
        <v>77</v>
      </c>
      <c r="E65" s="35" t="s">
        <v>77</v>
      </c>
      <c r="F65" s="35" t="s">
        <v>77</v>
      </c>
      <c r="G65" s="35" t="s">
        <v>78</v>
      </c>
      <c r="H65" s="35" t="s">
        <v>78</v>
      </c>
      <c r="I65" s="2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</row>
    <row r="66" spans="2:22" s="5" customFormat="1" ht="21" customHeight="1" x14ac:dyDescent="0.25">
      <c r="B66" s="22" t="s">
        <v>29</v>
      </c>
      <c r="C66" s="32"/>
      <c r="D66" s="35" t="s">
        <v>76</v>
      </c>
      <c r="E66" s="35" t="s">
        <v>76</v>
      </c>
      <c r="F66" s="35" t="s">
        <v>76</v>
      </c>
      <c r="G66" s="35" t="s">
        <v>76</v>
      </c>
      <c r="H66" s="36" t="s">
        <v>70</v>
      </c>
      <c r="I66" s="30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 spans="2:22" s="5" customFormat="1" ht="21" customHeight="1" x14ac:dyDescent="0.25">
      <c r="B67" s="10" t="s">
        <v>9</v>
      </c>
      <c r="C67" s="26" t="s">
        <v>28</v>
      </c>
      <c r="D67" s="59" t="s">
        <v>41</v>
      </c>
      <c r="E67" s="32" t="s">
        <v>41</v>
      </c>
      <c r="F67" s="32" t="s">
        <v>41</v>
      </c>
      <c r="G67" s="32" t="s">
        <v>41</v>
      </c>
      <c r="H67" s="32" t="s">
        <v>41</v>
      </c>
      <c r="I67" s="26" t="s">
        <v>28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 spans="2:22" s="5" customFormat="1" ht="21" customHeight="1" x14ac:dyDescent="0.25">
      <c r="B68" s="10" t="s">
        <v>20</v>
      </c>
      <c r="C68" s="26"/>
      <c r="D68" s="29" t="s">
        <v>34</v>
      </c>
      <c r="E68" s="29" t="s">
        <v>34</v>
      </c>
      <c r="F68" s="29" t="s">
        <v>34</v>
      </c>
      <c r="G68" s="29" t="s">
        <v>34</v>
      </c>
      <c r="H68" s="29" t="s">
        <v>34</v>
      </c>
      <c r="I68" s="2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 spans="2:22" s="5" customFormat="1" ht="21" customHeight="1" thickBot="1" x14ac:dyDescent="0.3">
      <c r="B69" s="23" t="s">
        <v>13</v>
      </c>
      <c r="C69" s="30" t="s">
        <v>30</v>
      </c>
      <c r="D69" s="28" t="s">
        <v>74</v>
      </c>
      <c r="E69" s="28" t="s">
        <v>74</v>
      </c>
      <c r="F69" s="28" t="s">
        <v>74</v>
      </c>
      <c r="G69" s="28" t="s">
        <v>74</v>
      </c>
      <c r="H69" s="28" t="s">
        <v>75</v>
      </c>
      <c r="I69" s="30" t="s">
        <v>22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</row>
    <row r="70" spans="2:22" s="5" customFormat="1" ht="3" customHeight="1" thickBot="1" x14ac:dyDescent="0.3">
      <c r="B70" s="68"/>
      <c r="C70" s="73"/>
      <c r="D70" s="73"/>
      <c r="E70" s="73"/>
      <c r="F70" s="73"/>
      <c r="G70" s="73"/>
      <c r="H70" s="73"/>
      <c r="I70" s="74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 spans="2:22" ht="18" customHeight="1" x14ac:dyDescent="0.25"/>
    <row r="72" spans="2:22" ht="18" customHeight="1" x14ac:dyDescent="0.25"/>
    <row r="73" spans="2:22" ht="18" customHeight="1" x14ac:dyDescent="0.25"/>
    <row r="74" spans="2:22" ht="18" customHeight="1" x14ac:dyDescent="0.25"/>
    <row r="75" spans="2:22" ht="18" customHeight="1" x14ac:dyDescent="0.25"/>
    <row r="76" spans="2:22" ht="18" customHeight="1" x14ac:dyDescent="0.25"/>
    <row r="77" spans="2:22" ht="18" customHeight="1" x14ac:dyDescent="0.25"/>
    <row r="78" spans="2:22" ht="18" customHeight="1" x14ac:dyDescent="0.25"/>
    <row r="79" spans="2:22" ht="18" customHeight="1" x14ac:dyDescent="0.25"/>
    <row r="80" spans="2:22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  <row r="93" ht="18" customHeight="1" x14ac:dyDescent="0.25"/>
    <row r="94" ht="18" customHeight="1" x14ac:dyDescent="0.25"/>
    <row r="95" ht="18" customHeight="1" x14ac:dyDescent="0.25"/>
    <row r="96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</sheetData>
  <mergeCells count="20">
    <mergeCell ref="B35:B36"/>
    <mergeCell ref="B2:E5"/>
    <mergeCell ref="F2:F9"/>
    <mergeCell ref="W3:X3"/>
    <mergeCell ref="B6:E8"/>
    <mergeCell ref="B9:B15"/>
    <mergeCell ref="C9:E15"/>
    <mergeCell ref="F10:F15"/>
    <mergeCell ref="B16:I16"/>
    <mergeCell ref="B17:B18"/>
    <mergeCell ref="B25:I25"/>
    <mergeCell ref="B26:B27"/>
    <mergeCell ref="B34:I34"/>
    <mergeCell ref="B70:I70"/>
    <mergeCell ref="B43:I43"/>
    <mergeCell ref="B44:B45"/>
    <mergeCell ref="B52:I52"/>
    <mergeCell ref="B53:B54"/>
    <mergeCell ref="B61:I61"/>
    <mergeCell ref="B62:B63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0F6DF-B738-411A-9CF9-EE971DA93D94}">
  <dimension ref="A1:X219"/>
  <sheetViews>
    <sheetView showGridLines="0" zoomScale="90" zoomScaleNormal="90" workbookViewId="0"/>
  </sheetViews>
  <sheetFormatPr defaultRowHeight="15" x14ac:dyDescent="0.25"/>
  <cols>
    <col min="1" max="1" width="3.7109375" style="5" customWidth="1"/>
    <col min="2" max="2" width="15.7109375" style="34" customWidth="1"/>
    <col min="3" max="3" width="18.7109375" style="34" customWidth="1"/>
    <col min="4" max="4" width="31.140625" style="34" bestFit="1" customWidth="1"/>
    <col min="5" max="7" width="31.42578125" style="34" bestFit="1" customWidth="1"/>
    <col min="8" max="8" width="29.5703125" style="34" bestFit="1" customWidth="1"/>
    <col min="9" max="9" width="18.7109375" style="34" customWidth="1"/>
    <col min="10" max="10" width="3.7109375" style="5" customWidth="1"/>
    <col min="11" max="11" width="9.140625" style="6"/>
    <col min="12" max="12" width="15" style="6" customWidth="1"/>
    <col min="13" max="22" width="9.140625" style="6"/>
    <col min="23" max="23" width="9.5703125" style="34" bestFit="1" customWidth="1"/>
    <col min="24" max="24" width="10.140625" style="34" bestFit="1" customWidth="1"/>
    <col min="25" max="16384" width="9.140625" style="34"/>
  </cols>
  <sheetData>
    <row r="1" spans="2:24" s="5" customFormat="1" ht="18" customHeight="1" thickBot="1" x14ac:dyDescent="0.3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2:24" ht="12" customHeight="1" x14ac:dyDescent="0.25">
      <c r="B2" s="94" t="s">
        <v>19</v>
      </c>
      <c r="C2" s="95"/>
      <c r="D2" s="95"/>
      <c r="E2" s="96"/>
      <c r="F2" s="100" t="s">
        <v>35</v>
      </c>
      <c r="G2" s="11" t="s">
        <v>17</v>
      </c>
      <c r="H2" s="12" cm="1">
        <f t="array" ref="H2">SUM(LEN(C17:I69)-LEN(SUBSTITUTE(C17:I69,"Venkatesh","")))/LEN("Venkatesh")</f>
        <v>30</v>
      </c>
      <c r="I2" s="13" t="s">
        <v>0</v>
      </c>
    </row>
    <row r="3" spans="2:24" ht="12" customHeight="1" x14ac:dyDescent="0.25">
      <c r="B3" s="97"/>
      <c r="C3" s="98"/>
      <c r="D3" s="98"/>
      <c r="E3" s="99"/>
      <c r="F3" s="101"/>
      <c r="G3" s="14" t="s">
        <v>22</v>
      </c>
      <c r="H3" s="21" cm="1">
        <f t="array" ref="H3">SUM(LEN(C17:I69)-LEN(SUBSTITUTE(C17:I69,"Prasanna","")))/LEN("Prasanna")</f>
        <v>30</v>
      </c>
      <c r="I3" s="15" t="s">
        <v>16</v>
      </c>
      <c r="W3" s="105" t="s">
        <v>50</v>
      </c>
      <c r="X3" s="105"/>
    </row>
    <row r="4" spans="2:24" ht="12" customHeight="1" x14ac:dyDescent="0.25">
      <c r="B4" s="97"/>
      <c r="C4" s="98"/>
      <c r="D4" s="98"/>
      <c r="E4" s="99"/>
      <c r="F4" s="101"/>
      <c r="G4" s="14" t="s">
        <v>23</v>
      </c>
      <c r="H4" s="20" cm="1">
        <f t="array" ref="H4">SUM(LEN(C17:I69)-LEN(SUBSTITUTE(C17:I69,"Prashant","")))/LEN("Prashant")</f>
        <v>30</v>
      </c>
      <c r="I4" s="15" t="s">
        <v>0</v>
      </c>
      <c r="W4" s="41" t="s">
        <v>27</v>
      </c>
      <c r="X4" s="42" t="s">
        <v>48</v>
      </c>
    </row>
    <row r="5" spans="2:24" ht="12" customHeight="1" x14ac:dyDescent="0.25">
      <c r="B5" s="97"/>
      <c r="C5" s="98"/>
      <c r="D5" s="98"/>
      <c r="E5" s="99"/>
      <c r="F5" s="101"/>
      <c r="G5" s="16" t="s">
        <v>24</v>
      </c>
      <c r="H5" s="20" cm="1">
        <f t="array" ref="H5">SUM(LEN(C17:I69)-LEN(SUBSTITUTE(C17:I69,"Harshith","")))/LEN("Harshith")</f>
        <v>30</v>
      </c>
      <c r="I5" s="15" t="s">
        <v>16</v>
      </c>
      <c r="W5" s="41" t="s">
        <v>26</v>
      </c>
      <c r="X5" s="42" t="s">
        <v>47</v>
      </c>
    </row>
    <row r="6" spans="2:24" ht="12" customHeight="1" x14ac:dyDescent="0.25">
      <c r="B6" s="97" t="s">
        <v>65</v>
      </c>
      <c r="C6" s="98"/>
      <c r="D6" s="98"/>
      <c r="E6" s="99"/>
      <c r="F6" s="101"/>
      <c r="G6" s="18" t="s">
        <v>25</v>
      </c>
      <c r="H6" s="20" cm="1">
        <f t="array" ref="H6">SUM(LEN(C17:I69)-LEN(SUBSTITUTE(C17:I69,"Madhan","")))/LEN("Madhan")</f>
        <v>30</v>
      </c>
      <c r="I6" s="17" t="s">
        <v>0</v>
      </c>
      <c r="W6" s="41" t="s">
        <v>28</v>
      </c>
      <c r="X6" s="42" t="s">
        <v>45</v>
      </c>
    </row>
    <row r="7" spans="2:24" ht="12" customHeight="1" x14ac:dyDescent="0.25">
      <c r="B7" s="97"/>
      <c r="C7" s="98"/>
      <c r="D7" s="98"/>
      <c r="E7" s="99"/>
      <c r="F7" s="101"/>
      <c r="G7" s="16" t="s">
        <v>27</v>
      </c>
      <c r="H7" s="20" cm="1">
        <f t="array" ref="H7">SUM(LEN(C17:I69)-LEN(SUBSTITUTE(C17:I69,"Nandish","")))/LEN("Nandish")</f>
        <v>30</v>
      </c>
      <c r="I7" s="17" t="s">
        <v>0</v>
      </c>
      <c r="W7" s="41" t="s">
        <v>22</v>
      </c>
      <c r="X7" s="42" t="s">
        <v>46</v>
      </c>
    </row>
    <row r="8" spans="2:24" ht="12" customHeight="1" thickBot="1" x14ac:dyDescent="0.3">
      <c r="B8" s="102"/>
      <c r="C8" s="103"/>
      <c r="D8" s="103"/>
      <c r="E8" s="104"/>
      <c r="F8" s="101"/>
      <c r="G8" s="19" t="s">
        <v>26</v>
      </c>
      <c r="H8" s="20" cm="1">
        <f t="array" ref="H8">SUM(LEN(C17:I69)-LEN(SUBSTITUTE(C17:I69,"Ranjith","")))/LEN("Ranjith")</f>
        <v>30</v>
      </c>
      <c r="I8" s="17" t="s">
        <v>15</v>
      </c>
      <c r="W8" s="41" t="s">
        <v>24</v>
      </c>
      <c r="X8" s="42" t="s">
        <v>44</v>
      </c>
    </row>
    <row r="9" spans="2:24" ht="12" customHeight="1" x14ac:dyDescent="0.25">
      <c r="B9" s="75" t="s">
        <v>36</v>
      </c>
      <c r="C9" s="78" t="s">
        <v>71</v>
      </c>
      <c r="D9" s="79"/>
      <c r="E9" s="80"/>
      <c r="F9" s="101"/>
      <c r="G9" s="16" t="s">
        <v>30</v>
      </c>
      <c r="H9" s="20" cm="1">
        <f t="array" ref="H9">SUM(LEN(C17:I69)-LEN(SUBSTITUTE(C17:I69,"Adith","")))/LEN("Adith")</f>
        <v>30</v>
      </c>
      <c r="I9" s="17" t="s">
        <v>0</v>
      </c>
      <c r="W9" s="48" t="s">
        <v>26</v>
      </c>
      <c r="X9" s="49" t="s">
        <v>54</v>
      </c>
    </row>
    <row r="10" spans="2:24" ht="12" customHeight="1" x14ac:dyDescent="0.25">
      <c r="B10" s="76"/>
      <c r="C10" s="81"/>
      <c r="D10" s="82"/>
      <c r="E10" s="83"/>
      <c r="F10" s="87">
        <v>23</v>
      </c>
      <c r="G10" s="16" t="s">
        <v>28</v>
      </c>
      <c r="H10" s="20" cm="1">
        <f t="array" ref="H10">SUM(LEN(C17:I69)-LEN(SUBSTITUTE(C17:I69,"Darshan","")))/LEN("Darshan")</f>
        <v>30</v>
      </c>
      <c r="I10" s="15" t="s">
        <v>15</v>
      </c>
      <c r="W10" s="47" t="s">
        <v>28</v>
      </c>
      <c r="X10" s="47" t="s">
        <v>48</v>
      </c>
    </row>
    <row r="11" spans="2:24" ht="12" customHeight="1" x14ac:dyDescent="0.25">
      <c r="B11" s="76"/>
      <c r="C11" s="81"/>
      <c r="D11" s="82"/>
      <c r="E11" s="83"/>
      <c r="F11" s="87"/>
      <c r="G11" s="19" t="s">
        <v>31</v>
      </c>
      <c r="H11" s="20" cm="1">
        <f t="array" ref="H11">SUM(LEN(C17:I69)-LEN(SUBSTITUTE(C17:I69,"Basavaraj","")))/LEN("Basavaraj")</f>
        <v>30</v>
      </c>
      <c r="I11" s="17" t="s">
        <v>0</v>
      </c>
      <c r="W11" s="47" t="s">
        <v>22</v>
      </c>
      <c r="X11" s="47" t="s">
        <v>47</v>
      </c>
    </row>
    <row r="12" spans="2:24" ht="12" customHeight="1" x14ac:dyDescent="0.25">
      <c r="B12" s="76"/>
      <c r="C12" s="81"/>
      <c r="D12" s="82"/>
      <c r="E12" s="83"/>
      <c r="F12" s="87"/>
      <c r="G12" s="16" t="s">
        <v>38</v>
      </c>
      <c r="H12" s="20" cm="1">
        <f t="array" ref="H12">SUM(LEN(C17:I69)-LEN(SUBSTITUTE(C17:I69,"Gowtham","")))/LEN("Gowtham")</f>
        <v>30</v>
      </c>
      <c r="I12" s="17" t="s">
        <v>0</v>
      </c>
      <c r="W12" s="47" t="s">
        <v>24</v>
      </c>
      <c r="X12" s="47" t="s">
        <v>45</v>
      </c>
    </row>
    <row r="13" spans="2:24" ht="12" customHeight="1" x14ac:dyDescent="0.25">
      <c r="B13" s="76"/>
      <c r="C13" s="81"/>
      <c r="D13" s="82"/>
      <c r="E13" s="83"/>
      <c r="F13" s="87"/>
      <c r="G13" s="38" t="s">
        <v>39</v>
      </c>
      <c r="H13" s="20" cm="1">
        <f t="array" ref="H13">SUM(LEN(C17:I69)-LEN(SUBSTITUTE(C17:I69,"Jayant","")))/LEN("Jayant")</f>
        <v>30</v>
      </c>
      <c r="I13" s="17" t="s">
        <v>0</v>
      </c>
    </row>
    <row r="14" spans="2:24" ht="12" customHeight="1" x14ac:dyDescent="0.25">
      <c r="B14" s="76"/>
      <c r="C14" s="81"/>
      <c r="D14" s="82"/>
      <c r="E14" s="83"/>
      <c r="F14" s="87"/>
      <c r="G14" s="38" t="s">
        <v>53</v>
      </c>
      <c r="H14" s="20" cm="1">
        <f t="array" ref="H14">SUM(LEN(C17:I69)-LEN(SUBSTITUTE(C17:I69,"Subeesh","")))/LEN("Subeesh")</f>
        <v>30</v>
      </c>
      <c r="I14" s="17" t="s">
        <v>0</v>
      </c>
    </row>
    <row r="15" spans="2:24" ht="12" customHeight="1" thickBot="1" x14ac:dyDescent="0.3">
      <c r="B15" s="77"/>
      <c r="C15" s="84"/>
      <c r="D15" s="85"/>
      <c r="E15" s="86"/>
      <c r="F15" s="88"/>
      <c r="G15" s="27" t="s">
        <v>72</v>
      </c>
      <c r="H15" s="20" cm="1">
        <f t="array" ref="H15">SUM(LEN(C17:I69)-LEN(SUBSTITUTE(C17:I69,"Prajwal","")))/LEN("Prajwal")</f>
        <v>0</v>
      </c>
      <c r="I15" s="17" t="s">
        <v>0</v>
      </c>
    </row>
    <row r="16" spans="2:24" ht="3" customHeight="1" thickBot="1" x14ac:dyDescent="0.3">
      <c r="B16" s="68"/>
      <c r="C16" s="73"/>
      <c r="D16" s="73"/>
      <c r="E16" s="73"/>
      <c r="F16" s="73"/>
      <c r="G16" s="73"/>
      <c r="H16" s="73"/>
      <c r="I16" s="74"/>
    </row>
    <row r="17" spans="2:22" s="5" customFormat="1" ht="15.75" thickBot="1" x14ac:dyDescent="0.3">
      <c r="B17" s="71" t="s">
        <v>14</v>
      </c>
      <c r="C17" s="1" t="s">
        <v>1</v>
      </c>
      <c r="D17" s="9" t="s">
        <v>2</v>
      </c>
      <c r="E17" s="2" t="s">
        <v>3</v>
      </c>
      <c r="F17" s="25" t="s">
        <v>4</v>
      </c>
      <c r="G17" s="2" t="s">
        <v>5</v>
      </c>
      <c r="H17" s="2" t="s">
        <v>6</v>
      </c>
      <c r="I17" s="1" t="s">
        <v>7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2:22" s="5" customFormat="1" ht="15.75" thickBot="1" x14ac:dyDescent="0.3">
      <c r="B18" s="72"/>
      <c r="C18" s="4">
        <v>45928</v>
      </c>
      <c r="D18" s="7">
        <f t="shared" ref="D18:F18" si="0">C18+1</f>
        <v>45929</v>
      </c>
      <c r="E18" s="8">
        <f t="shared" si="0"/>
        <v>45930</v>
      </c>
      <c r="F18" s="7">
        <f t="shared" si="0"/>
        <v>45931</v>
      </c>
      <c r="G18" s="8">
        <f>F18+1</f>
        <v>45932</v>
      </c>
      <c r="H18" s="3">
        <f t="shared" ref="H18:I18" si="1">G18+1</f>
        <v>45933</v>
      </c>
      <c r="I18" s="4">
        <f t="shared" si="1"/>
        <v>45934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2:22" s="5" customFormat="1" ht="21" customHeight="1" x14ac:dyDescent="0.25">
      <c r="B19" s="24" t="s">
        <v>8</v>
      </c>
      <c r="C19" s="37" t="s">
        <v>26</v>
      </c>
      <c r="D19" s="30" t="s">
        <v>26</v>
      </c>
      <c r="E19" s="30" t="s">
        <v>22</v>
      </c>
      <c r="F19" s="30" t="s">
        <v>22</v>
      </c>
      <c r="G19" s="30" t="s">
        <v>22</v>
      </c>
      <c r="H19" s="30" t="s">
        <v>26</v>
      </c>
      <c r="I19" s="37" t="s">
        <v>26</v>
      </c>
      <c r="K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spans="2:22" s="5" customFormat="1" ht="21" customHeight="1" x14ac:dyDescent="0.25">
      <c r="B20" s="24" t="s">
        <v>21</v>
      </c>
      <c r="C20" s="26"/>
      <c r="D20" s="35" t="s">
        <v>39</v>
      </c>
      <c r="E20" s="35" t="s">
        <v>63</v>
      </c>
      <c r="F20" s="35" t="s">
        <v>39</v>
      </c>
      <c r="G20" s="35" t="s">
        <v>39</v>
      </c>
      <c r="H20" s="35" t="s">
        <v>39</v>
      </c>
      <c r="I20" s="26"/>
      <c r="K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spans="2:22" s="5" customFormat="1" ht="21" customHeight="1" x14ac:dyDescent="0.25">
      <c r="B21" s="22" t="s">
        <v>29</v>
      </c>
      <c r="C21" s="32"/>
      <c r="D21" s="53" t="s">
        <v>62</v>
      </c>
      <c r="E21" s="54" t="s">
        <v>62</v>
      </c>
      <c r="F21" s="54" t="s">
        <v>62</v>
      </c>
      <c r="G21" s="35" t="s">
        <v>64</v>
      </c>
      <c r="H21" s="36" t="s">
        <v>59</v>
      </c>
      <c r="I21" s="30"/>
      <c r="K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spans="2:22" s="5" customFormat="1" ht="21" customHeight="1" x14ac:dyDescent="0.25">
      <c r="B22" s="10" t="s">
        <v>9</v>
      </c>
      <c r="C22" s="26" t="s">
        <v>24</v>
      </c>
      <c r="D22" s="46" t="s">
        <v>61</v>
      </c>
      <c r="E22" s="39" t="s">
        <v>61</v>
      </c>
      <c r="F22" s="39" t="s">
        <v>61</v>
      </c>
      <c r="G22" s="39" t="s">
        <v>61</v>
      </c>
      <c r="H22" s="39" t="s">
        <v>61</v>
      </c>
      <c r="I22" s="26" t="s">
        <v>22</v>
      </c>
      <c r="K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spans="2:22" s="5" customFormat="1" ht="21" customHeight="1" x14ac:dyDescent="0.25">
      <c r="B23" s="10" t="s">
        <v>20</v>
      </c>
      <c r="C23" s="26"/>
      <c r="D23" s="29" t="s">
        <v>34</v>
      </c>
      <c r="E23" s="29" t="s">
        <v>34</v>
      </c>
      <c r="F23" s="29" t="s">
        <v>34</v>
      </c>
      <c r="G23" s="29" t="s">
        <v>34</v>
      </c>
      <c r="H23" s="29" t="s">
        <v>34</v>
      </c>
      <c r="I23" s="26"/>
      <c r="K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spans="2:22" s="5" customFormat="1" ht="21" customHeight="1" thickBot="1" x14ac:dyDescent="0.3">
      <c r="B24" s="23" t="s">
        <v>13</v>
      </c>
      <c r="C24" s="30" t="s">
        <v>28</v>
      </c>
      <c r="D24" s="28" t="s">
        <v>67</v>
      </c>
      <c r="E24" s="28" t="s">
        <v>67</v>
      </c>
      <c r="F24" s="28" t="s">
        <v>67</v>
      </c>
      <c r="G24" s="28" t="s">
        <v>68</v>
      </c>
      <c r="H24" s="28" t="s">
        <v>69</v>
      </c>
      <c r="I24" s="30" t="s">
        <v>28</v>
      </c>
      <c r="K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2:22" s="5" customFormat="1" ht="3" customHeight="1" thickBot="1" x14ac:dyDescent="0.3">
      <c r="B25" s="68"/>
      <c r="C25" s="73"/>
      <c r="D25" s="73"/>
      <c r="E25" s="73"/>
      <c r="F25" s="73"/>
      <c r="G25" s="73"/>
      <c r="H25" s="73"/>
      <c r="I25" s="74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spans="2:22" s="5" customFormat="1" ht="15.75" thickBot="1" x14ac:dyDescent="0.3">
      <c r="B26" s="71" t="s">
        <v>10</v>
      </c>
      <c r="C26" s="1" t="s">
        <v>1</v>
      </c>
      <c r="D26" s="9" t="s">
        <v>2</v>
      </c>
      <c r="E26" s="2" t="s">
        <v>3</v>
      </c>
      <c r="F26" s="25" t="s">
        <v>4</v>
      </c>
      <c r="G26" s="2" t="s">
        <v>5</v>
      </c>
      <c r="H26" s="2" t="s">
        <v>6</v>
      </c>
      <c r="I26" s="1" t="s">
        <v>7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spans="2:22" s="5" customFormat="1" ht="15.75" thickBot="1" x14ac:dyDescent="0.3">
      <c r="B27" s="72"/>
      <c r="C27" s="4">
        <f>I18+1</f>
        <v>45935</v>
      </c>
      <c r="D27" s="7">
        <f t="shared" ref="D27:F27" si="2">C27+1</f>
        <v>45936</v>
      </c>
      <c r="E27" s="8">
        <f t="shared" si="2"/>
        <v>45937</v>
      </c>
      <c r="F27" s="7">
        <f t="shared" si="2"/>
        <v>45938</v>
      </c>
      <c r="G27" s="8">
        <f>F27+1</f>
        <v>45939</v>
      </c>
      <c r="H27" s="3">
        <f t="shared" ref="H27:I27" si="3">G27+1</f>
        <v>45940</v>
      </c>
      <c r="I27" s="4">
        <f t="shared" si="3"/>
        <v>45941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spans="2:22" s="5" customFormat="1" ht="21" customHeight="1" x14ac:dyDescent="0.25">
      <c r="B28" s="24" t="s">
        <v>8</v>
      </c>
      <c r="C28" s="37" t="s">
        <v>26</v>
      </c>
      <c r="D28" s="30" t="s">
        <v>26</v>
      </c>
      <c r="E28" s="30" t="s">
        <v>22</v>
      </c>
      <c r="F28" s="30" t="s">
        <v>22</v>
      </c>
      <c r="G28" s="30" t="s">
        <v>22</v>
      </c>
      <c r="H28" s="30" t="s">
        <v>26</v>
      </c>
      <c r="I28" s="37" t="s">
        <v>26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spans="2:22" s="5" customFormat="1" ht="21" customHeight="1" x14ac:dyDescent="0.25">
      <c r="B29" s="24" t="s">
        <v>21</v>
      </c>
      <c r="C29" s="26"/>
      <c r="D29" s="35" t="s">
        <v>39</v>
      </c>
      <c r="E29" s="35" t="s">
        <v>63</v>
      </c>
      <c r="F29" s="35" t="s">
        <v>39</v>
      </c>
      <c r="G29" s="35" t="s">
        <v>39</v>
      </c>
      <c r="H29" s="35" t="s">
        <v>39</v>
      </c>
      <c r="I29" s="2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spans="2:22" s="5" customFormat="1" ht="21" customHeight="1" x14ac:dyDescent="0.25">
      <c r="B30" s="22" t="s">
        <v>29</v>
      </c>
      <c r="C30" s="32"/>
      <c r="D30" s="53" t="s">
        <v>62</v>
      </c>
      <c r="E30" s="54" t="s">
        <v>62</v>
      </c>
      <c r="F30" s="54" t="s">
        <v>62</v>
      </c>
      <c r="G30" s="35" t="s">
        <v>64</v>
      </c>
      <c r="H30" s="36" t="s">
        <v>59</v>
      </c>
      <c r="I30" s="30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spans="2:22" s="5" customFormat="1" ht="21" customHeight="1" x14ac:dyDescent="0.25">
      <c r="B31" s="10" t="s">
        <v>9</v>
      </c>
      <c r="C31" s="26" t="s">
        <v>24</v>
      </c>
      <c r="D31" s="46" t="s">
        <v>61</v>
      </c>
      <c r="E31" s="39" t="s">
        <v>61</v>
      </c>
      <c r="F31" s="39" t="s">
        <v>61</v>
      </c>
      <c r="G31" s="39" t="s">
        <v>61</v>
      </c>
      <c r="H31" s="39" t="s">
        <v>61</v>
      </c>
      <c r="I31" s="26" t="s">
        <v>22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2:22" s="5" customFormat="1" ht="21" customHeight="1" x14ac:dyDescent="0.25">
      <c r="B32" s="10" t="s">
        <v>20</v>
      </c>
      <c r="C32" s="26"/>
      <c r="D32" s="29" t="s">
        <v>34</v>
      </c>
      <c r="E32" s="29" t="s">
        <v>34</v>
      </c>
      <c r="F32" s="29" t="s">
        <v>34</v>
      </c>
      <c r="G32" s="29" t="s">
        <v>34</v>
      </c>
      <c r="H32" s="29" t="s">
        <v>34</v>
      </c>
      <c r="I32" s="2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2:22" s="5" customFormat="1" ht="21" customHeight="1" thickBot="1" x14ac:dyDescent="0.3">
      <c r="B33" s="23" t="s">
        <v>13</v>
      </c>
      <c r="C33" s="30" t="s">
        <v>28</v>
      </c>
      <c r="D33" s="28" t="s">
        <v>67</v>
      </c>
      <c r="E33" s="28" t="s">
        <v>67</v>
      </c>
      <c r="F33" s="28" t="s">
        <v>67</v>
      </c>
      <c r="G33" s="28" t="s">
        <v>68</v>
      </c>
      <c r="H33" s="28" t="s">
        <v>69</v>
      </c>
      <c r="I33" s="30" t="s">
        <v>28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spans="2:22" s="5" customFormat="1" ht="3" customHeight="1" thickBot="1" x14ac:dyDescent="0.3">
      <c r="B34" s="68"/>
      <c r="C34" s="73"/>
      <c r="D34" s="73"/>
      <c r="E34" s="73"/>
      <c r="F34" s="73"/>
      <c r="G34" s="73"/>
      <c r="H34" s="73"/>
      <c r="I34" s="74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spans="2:22" s="5" customFormat="1" ht="15.75" thickBot="1" x14ac:dyDescent="0.3">
      <c r="B35" s="71" t="s">
        <v>11</v>
      </c>
      <c r="C35" s="1" t="s">
        <v>1</v>
      </c>
      <c r="D35" s="9" t="s">
        <v>2</v>
      </c>
      <c r="E35" s="2" t="s">
        <v>3</v>
      </c>
      <c r="F35" s="25" t="s">
        <v>4</v>
      </c>
      <c r="G35" s="2" t="s">
        <v>5</v>
      </c>
      <c r="H35" s="2" t="s">
        <v>6</v>
      </c>
      <c r="I35" s="1" t="s">
        <v>7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spans="2:22" s="5" customFormat="1" ht="15.75" thickBot="1" x14ac:dyDescent="0.3">
      <c r="B36" s="72"/>
      <c r="C36" s="4">
        <f>I27+1</f>
        <v>45942</v>
      </c>
      <c r="D36" s="7">
        <f t="shared" ref="D36:F36" si="4">C36+1</f>
        <v>45943</v>
      </c>
      <c r="E36" s="8">
        <f t="shared" si="4"/>
        <v>45944</v>
      </c>
      <c r="F36" s="7">
        <f t="shared" si="4"/>
        <v>45945</v>
      </c>
      <c r="G36" s="8">
        <f>F36+1</f>
        <v>45946</v>
      </c>
      <c r="H36" s="3">
        <f t="shared" ref="H36:I36" si="5">G36+1</f>
        <v>45947</v>
      </c>
      <c r="I36" s="4">
        <f t="shared" si="5"/>
        <v>45948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spans="2:22" s="5" customFormat="1" ht="21" customHeight="1" x14ac:dyDescent="0.25">
      <c r="B37" s="24" t="s">
        <v>8</v>
      </c>
      <c r="C37" s="37" t="s">
        <v>26</v>
      </c>
      <c r="D37" s="30" t="s">
        <v>26</v>
      </c>
      <c r="E37" s="30" t="s">
        <v>22</v>
      </c>
      <c r="F37" s="30" t="s">
        <v>22</v>
      </c>
      <c r="G37" s="30" t="s">
        <v>22</v>
      </c>
      <c r="H37" s="30" t="s">
        <v>26</v>
      </c>
      <c r="I37" s="37" t="s">
        <v>26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spans="2:22" s="5" customFormat="1" ht="21" customHeight="1" x14ac:dyDescent="0.25">
      <c r="B38" s="24" t="s">
        <v>21</v>
      </c>
      <c r="C38" s="26"/>
      <c r="D38" s="35" t="s">
        <v>39</v>
      </c>
      <c r="E38" s="35" t="s">
        <v>63</v>
      </c>
      <c r="F38" s="35" t="s">
        <v>39</v>
      </c>
      <c r="G38" s="35" t="s">
        <v>39</v>
      </c>
      <c r="H38" s="35" t="s">
        <v>39</v>
      </c>
      <c r="I38" s="2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spans="2:22" s="5" customFormat="1" ht="21" customHeight="1" x14ac:dyDescent="0.25">
      <c r="B39" s="22" t="s">
        <v>29</v>
      </c>
      <c r="C39" s="32"/>
      <c r="D39" s="53" t="s">
        <v>62</v>
      </c>
      <c r="E39" s="54" t="s">
        <v>62</v>
      </c>
      <c r="F39" s="54" t="s">
        <v>62</v>
      </c>
      <c r="G39" s="35" t="s">
        <v>64</v>
      </c>
      <c r="H39" s="36" t="s">
        <v>59</v>
      </c>
      <c r="I39" s="30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spans="2:22" s="5" customFormat="1" ht="21" customHeight="1" x14ac:dyDescent="0.25">
      <c r="B40" s="10" t="s">
        <v>9</v>
      </c>
      <c r="C40" s="26" t="s">
        <v>24</v>
      </c>
      <c r="D40" s="46" t="s">
        <v>61</v>
      </c>
      <c r="E40" s="39" t="s">
        <v>61</v>
      </c>
      <c r="F40" s="39" t="s">
        <v>61</v>
      </c>
      <c r="G40" s="39" t="s">
        <v>61</v>
      </c>
      <c r="H40" s="39" t="s">
        <v>61</v>
      </c>
      <c r="I40" s="26" t="s">
        <v>22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2:22" s="5" customFormat="1" ht="21" customHeight="1" x14ac:dyDescent="0.25">
      <c r="B41" s="10" t="s">
        <v>20</v>
      </c>
      <c r="C41" s="26"/>
      <c r="D41" s="29" t="s">
        <v>34</v>
      </c>
      <c r="E41" s="29" t="s">
        <v>34</v>
      </c>
      <c r="F41" s="29" t="s">
        <v>34</v>
      </c>
      <c r="G41" s="29" t="s">
        <v>34</v>
      </c>
      <c r="H41" s="29" t="s">
        <v>34</v>
      </c>
      <c r="I41" s="2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2:22" s="5" customFormat="1" ht="21" customHeight="1" thickBot="1" x14ac:dyDescent="0.3">
      <c r="B42" s="23" t="s">
        <v>13</v>
      </c>
      <c r="C42" s="30" t="s">
        <v>28</v>
      </c>
      <c r="D42" s="28" t="s">
        <v>67</v>
      </c>
      <c r="E42" s="28" t="s">
        <v>67</v>
      </c>
      <c r="F42" s="28" t="s">
        <v>67</v>
      </c>
      <c r="G42" s="28" t="s">
        <v>68</v>
      </c>
      <c r="H42" s="28" t="s">
        <v>69</v>
      </c>
      <c r="I42" s="30" t="s">
        <v>28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2:22" s="5" customFormat="1" ht="3" customHeight="1" thickBot="1" x14ac:dyDescent="0.3">
      <c r="B43" s="68"/>
      <c r="C43" s="73"/>
      <c r="D43" s="73"/>
      <c r="E43" s="73"/>
      <c r="F43" s="73"/>
      <c r="G43" s="73"/>
      <c r="H43" s="73"/>
      <c r="I43" s="74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2:22" s="5" customFormat="1" ht="15.75" thickBot="1" x14ac:dyDescent="0.3">
      <c r="B44" s="71" t="s">
        <v>12</v>
      </c>
      <c r="C44" s="1" t="s">
        <v>1</v>
      </c>
      <c r="D44" s="9" t="s">
        <v>2</v>
      </c>
      <c r="E44" s="2" t="s">
        <v>3</v>
      </c>
      <c r="F44" s="25" t="s">
        <v>4</v>
      </c>
      <c r="G44" s="2" t="s">
        <v>5</v>
      </c>
      <c r="H44" s="2" t="s">
        <v>6</v>
      </c>
      <c r="I44" s="1" t="s">
        <v>7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2:22" s="5" customFormat="1" ht="15.75" thickBot="1" x14ac:dyDescent="0.3">
      <c r="B45" s="72"/>
      <c r="C45" s="45">
        <f>I36+1</f>
        <v>45949</v>
      </c>
      <c r="D45" s="7">
        <f t="shared" ref="D45:F45" si="6">C45+1</f>
        <v>45950</v>
      </c>
      <c r="E45" s="8">
        <f t="shared" si="6"/>
        <v>45951</v>
      </c>
      <c r="F45" s="7">
        <f t="shared" si="6"/>
        <v>45952</v>
      </c>
      <c r="G45" s="8">
        <f>F45+1</f>
        <v>45953</v>
      </c>
      <c r="H45" s="3">
        <f t="shared" ref="H45:I45" si="7">G45+1</f>
        <v>45954</v>
      </c>
      <c r="I45" s="4">
        <f t="shared" si="7"/>
        <v>45955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2:22" s="5" customFormat="1" ht="21" customHeight="1" x14ac:dyDescent="0.25">
      <c r="B46" s="43" t="s">
        <v>8</v>
      </c>
      <c r="C46" s="37" t="s">
        <v>26</v>
      </c>
      <c r="D46" s="30" t="s">
        <v>26</v>
      </c>
      <c r="E46" s="30" t="s">
        <v>22</v>
      </c>
      <c r="F46" s="30" t="s">
        <v>22</v>
      </c>
      <c r="G46" s="30" t="s">
        <v>22</v>
      </c>
      <c r="H46" s="30" t="s">
        <v>26</v>
      </c>
      <c r="I46" s="37" t="s">
        <v>26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2:22" s="5" customFormat="1" ht="21" customHeight="1" x14ac:dyDescent="0.25">
      <c r="B47" s="43" t="s">
        <v>21</v>
      </c>
      <c r="C47" s="26"/>
      <c r="D47" s="35" t="s">
        <v>39</v>
      </c>
      <c r="E47" s="35" t="s">
        <v>63</v>
      </c>
      <c r="F47" s="35" t="s">
        <v>39</v>
      </c>
      <c r="G47" s="35" t="s">
        <v>39</v>
      </c>
      <c r="H47" s="35" t="s">
        <v>39</v>
      </c>
      <c r="I47" s="2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2:22" s="5" customFormat="1" ht="21" customHeight="1" x14ac:dyDescent="0.25">
      <c r="B48" s="44" t="s">
        <v>29</v>
      </c>
      <c r="C48" s="32"/>
      <c r="D48" s="53" t="s">
        <v>62</v>
      </c>
      <c r="E48" s="54" t="s">
        <v>62</v>
      </c>
      <c r="F48" s="54" t="s">
        <v>62</v>
      </c>
      <c r="G48" s="35" t="s">
        <v>64</v>
      </c>
      <c r="H48" s="36" t="s">
        <v>59</v>
      </c>
      <c r="I48" s="30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2:22" s="5" customFormat="1" ht="21" customHeight="1" x14ac:dyDescent="0.25">
      <c r="B49" s="10" t="s">
        <v>9</v>
      </c>
      <c r="C49" s="26" t="s">
        <v>24</v>
      </c>
      <c r="D49" s="46" t="s">
        <v>61</v>
      </c>
      <c r="E49" s="39" t="s">
        <v>61</v>
      </c>
      <c r="F49" s="39" t="s">
        <v>61</v>
      </c>
      <c r="G49" s="39" t="s">
        <v>61</v>
      </c>
      <c r="H49" s="39" t="s">
        <v>61</v>
      </c>
      <c r="I49" s="26" t="s">
        <v>22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2:22" s="5" customFormat="1" ht="21" customHeight="1" x14ac:dyDescent="0.25">
      <c r="B50" s="10" t="s">
        <v>20</v>
      </c>
      <c r="C50" s="26"/>
      <c r="D50" s="29" t="s">
        <v>34</v>
      </c>
      <c r="E50" s="29" t="s">
        <v>34</v>
      </c>
      <c r="F50" s="29" t="s">
        <v>34</v>
      </c>
      <c r="G50" s="29" t="s">
        <v>34</v>
      </c>
      <c r="H50" s="29" t="s">
        <v>34</v>
      </c>
      <c r="I50" s="2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2:22" s="5" customFormat="1" ht="21" customHeight="1" thickBot="1" x14ac:dyDescent="0.3">
      <c r="B51" s="23" t="s">
        <v>13</v>
      </c>
      <c r="C51" s="30" t="s">
        <v>28</v>
      </c>
      <c r="D51" s="28" t="s">
        <v>67</v>
      </c>
      <c r="E51" s="28" t="s">
        <v>67</v>
      </c>
      <c r="F51" s="28" t="s">
        <v>67</v>
      </c>
      <c r="G51" s="28" t="s">
        <v>68</v>
      </c>
      <c r="H51" s="28" t="s">
        <v>69</v>
      </c>
      <c r="I51" s="30" t="s">
        <v>28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  <row r="52" spans="2:22" s="5" customFormat="1" ht="3" customHeight="1" thickBot="1" x14ac:dyDescent="0.3">
      <c r="B52" s="68"/>
      <c r="C52" s="73"/>
      <c r="D52" s="73"/>
      <c r="E52" s="73"/>
      <c r="F52" s="73"/>
      <c r="G52" s="73"/>
      <c r="H52" s="73"/>
      <c r="I52" s="74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spans="2:22" s="5" customFormat="1" ht="15.75" thickBot="1" x14ac:dyDescent="0.3">
      <c r="B53" s="71" t="s">
        <v>43</v>
      </c>
      <c r="C53" s="1" t="s">
        <v>1</v>
      </c>
      <c r="D53" s="9" t="s">
        <v>2</v>
      </c>
      <c r="E53" s="2" t="s">
        <v>3</v>
      </c>
      <c r="F53" s="25" t="s">
        <v>4</v>
      </c>
      <c r="G53" s="2" t="s">
        <v>5</v>
      </c>
      <c r="H53" s="2" t="s">
        <v>6</v>
      </c>
      <c r="I53" s="1" t="s">
        <v>7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</row>
    <row r="54" spans="2:22" s="5" customFormat="1" ht="15.75" thickBot="1" x14ac:dyDescent="0.3">
      <c r="B54" s="72"/>
      <c r="C54" s="4">
        <f>I45+1</f>
        <v>45956</v>
      </c>
      <c r="D54" s="7">
        <f t="shared" ref="D54:F54" si="8">C54+1</f>
        <v>45957</v>
      </c>
      <c r="E54" s="8">
        <f t="shared" si="8"/>
        <v>45958</v>
      </c>
      <c r="F54" s="7">
        <f t="shared" si="8"/>
        <v>45959</v>
      </c>
      <c r="G54" s="8">
        <f>F54+1</f>
        <v>45960</v>
      </c>
      <c r="H54" s="3">
        <f t="shared" ref="H54:I54" si="9">G54+1</f>
        <v>45961</v>
      </c>
      <c r="I54" s="4">
        <f t="shared" si="9"/>
        <v>45962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 spans="2:22" s="5" customFormat="1" ht="21" customHeight="1" x14ac:dyDescent="0.25">
      <c r="B55" s="24" t="s">
        <v>8</v>
      </c>
      <c r="C55" s="37" t="s">
        <v>26</v>
      </c>
      <c r="D55" s="30" t="s">
        <v>26</v>
      </c>
      <c r="E55" s="30" t="s">
        <v>22</v>
      </c>
      <c r="F55" s="30" t="s">
        <v>22</v>
      </c>
      <c r="G55" s="30" t="s">
        <v>22</v>
      </c>
      <c r="H55" s="30" t="s">
        <v>26</v>
      </c>
      <c r="I55" s="37" t="s">
        <v>26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</row>
    <row r="56" spans="2:22" s="5" customFormat="1" ht="21" customHeight="1" x14ac:dyDescent="0.25">
      <c r="B56" s="24" t="s">
        <v>21</v>
      </c>
      <c r="C56" s="26"/>
      <c r="D56" s="35" t="s">
        <v>39</v>
      </c>
      <c r="E56" s="35" t="s">
        <v>63</v>
      </c>
      <c r="F56" s="35" t="s">
        <v>39</v>
      </c>
      <c r="G56" s="35" t="s">
        <v>39</v>
      </c>
      <c r="H56" s="35" t="s">
        <v>39</v>
      </c>
      <c r="I56" s="2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 spans="2:22" s="5" customFormat="1" ht="21" customHeight="1" x14ac:dyDescent="0.25">
      <c r="B57" s="22" t="s">
        <v>29</v>
      </c>
      <c r="C57" s="32"/>
      <c r="D57" s="53" t="s">
        <v>62</v>
      </c>
      <c r="E57" s="54" t="s">
        <v>62</v>
      </c>
      <c r="F57" s="54" t="s">
        <v>62</v>
      </c>
      <c r="G57" s="35" t="s">
        <v>64</v>
      </c>
      <c r="H57" s="36" t="s">
        <v>59</v>
      </c>
      <c r="I57" s="30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</row>
    <row r="58" spans="2:22" s="5" customFormat="1" ht="21" customHeight="1" x14ac:dyDescent="0.25">
      <c r="B58" s="10" t="s">
        <v>9</v>
      </c>
      <c r="C58" s="26" t="s">
        <v>24</v>
      </c>
      <c r="D58" s="46" t="s">
        <v>61</v>
      </c>
      <c r="E58" s="39" t="s">
        <v>61</v>
      </c>
      <c r="F58" s="39" t="s">
        <v>61</v>
      </c>
      <c r="G58" s="39" t="s">
        <v>61</v>
      </c>
      <c r="H58" s="39" t="s">
        <v>61</v>
      </c>
      <c r="I58" s="26" t="s">
        <v>22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r="59" spans="2:22" s="5" customFormat="1" ht="21" customHeight="1" x14ac:dyDescent="0.25">
      <c r="B59" s="10" t="s">
        <v>20</v>
      </c>
      <c r="C59" s="26"/>
      <c r="D59" s="29" t="s">
        <v>34</v>
      </c>
      <c r="E59" s="29" t="s">
        <v>34</v>
      </c>
      <c r="F59" s="29" t="s">
        <v>34</v>
      </c>
      <c r="G59" s="29" t="s">
        <v>34</v>
      </c>
      <c r="H59" s="29" t="s">
        <v>34</v>
      </c>
      <c r="I59" s="2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</row>
    <row r="60" spans="2:22" s="5" customFormat="1" ht="21" customHeight="1" thickBot="1" x14ac:dyDescent="0.3">
      <c r="B60" s="23" t="s">
        <v>13</v>
      </c>
      <c r="C60" s="30" t="s">
        <v>28</v>
      </c>
      <c r="D60" s="28" t="s">
        <v>67</v>
      </c>
      <c r="E60" s="28" t="s">
        <v>67</v>
      </c>
      <c r="F60" s="28" t="s">
        <v>67</v>
      </c>
      <c r="G60" s="28" t="s">
        <v>68</v>
      </c>
      <c r="H60" s="28" t="s">
        <v>69</v>
      </c>
      <c r="I60" s="30" t="s">
        <v>28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 spans="2:22" s="5" customFormat="1" ht="3" customHeight="1" thickBot="1" x14ac:dyDescent="0.3">
      <c r="B61" s="68"/>
      <c r="C61" s="73"/>
      <c r="D61" s="73"/>
      <c r="E61" s="73"/>
      <c r="F61" s="73"/>
      <c r="G61" s="73"/>
      <c r="H61" s="73"/>
      <c r="I61" s="74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 spans="2:22" s="5" customFormat="1" ht="15.75" thickBot="1" x14ac:dyDescent="0.3">
      <c r="B62" s="71" t="s">
        <v>43</v>
      </c>
      <c r="C62" s="1" t="s">
        <v>1</v>
      </c>
      <c r="D62" s="9" t="s">
        <v>2</v>
      </c>
      <c r="E62" s="2" t="s">
        <v>3</v>
      </c>
      <c r="F62" s="25" t="s">
        <v>4</v>
      </c>
      <c r="G62" s="2" t="s">
        <v>5</v>
      </c>
      <c r="H62" s="2" t="s">
        <v>6</v>
      </c>
      <c r="I62" s="1" t="s">
        <v>7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 spans="2:22" s="5" customFormat="1" ht="15.75" thickBot="1" x14ac:dyDescent="0.3">
      <c r="B63" s="72"/>
      <c r="C63" s="4">
        <f>I54+1</f>
        <v>45963</v>
      </c>
      <c r="D63" s="7">
        <f t="shared" ref="D63:F63" si="10">C63+1</f>
        <v>45964</v>
      </c>
      <c r="E63" s="8">
        <f t="shared" si="10"/>
        <v>45965</v>
      </c>
      <c r="F63" s="7">
        <f t="shared" si="10"/>
        <v>45966</v>
      </c>
      <c r="G63" s="8">
        <f>F63+1</f>
        <v>45967</v>
      </c>
      <c r="H63" s="3">
        <f t="shared" ref="H63:I63" si="11">G63+1</f>
        <v>45968</v>
      </c>
      <c r="I63" s="4">
        <f t="shared" si="11"/>
        <v>45969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</row>
    <row r="64" spans="2:22" s="5" customFormat="1" ht="21" customHeight="1" x14ac:dyDescent="0.25">
      <c r="B64" s="24" t="s">
        <v>8</v>
      </c>
      <c r="C64" s="37" t="s">
        <v>26</v>
      </c>
      <c r="D64" s="30" t="s">
        <v>26</v>
      </c>
      <c r="E64" s="30" t="s">
        <v>22</v>
      </c>
      <c r="F64" s="30" t="s">
        <v>22</v>
      </c>
      <c r="G64" s="30" t="s">
        <v>22</v>
      </c>
      <c r="H64" s="30" t="s">
        <v>26</v>
      </c>
      <c r="I64" s="37" t="s">
        <v>26</v>
      </c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 spans="2:22" s="5" customFormat="1" ht="21" customHeight="1" x14ac:dyDescent="0.25">
      <c r="B65" s="24" t="s">
        <v>21</v>
      </c>
      <c r="C65" s="26"/>
      <c r="D65" s="35" t="s">
        <v>39</v>
      </c>
      <c r="E65" s="35" t="s">
        <v>63</v>
      </c>
      <c r="F65" s="35" t="s">
        <v>39</v>
      </c>
      <c r="G65" s="35" t="s">
        <v>39</v>
      </c>
      <c r="H65" s="35" t="s">
        <v>39</v>
      </c>
      <c r="I65" s="2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</row>
    <row r="66" spans="2:22" s="5" customFormat="1" ht="21" customHeight="1" x14ac:dyDescent="0.25">
      <c r="B66" s="22" t="s">
        <v>29</v>
      </c>
      <c r="C66" s="32"/>
      <c r="D66" s="53" t="s">
        <v>62</v>
      </c>
      <c r="E66" s="54" t="s">
        <v>62</v>
      </c>
      <c r="F66" s="54" t="s">
        <v>62</v>
      </c>
      <c r="G66" s="35" t="s">
        <v>64</v>
      </c>
      <c r="H66" s="36" t="s">
        <v>59</v>
      </c>
      <c r="I66" s="30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 spans="2:22" s="5" customFormat="1" ht="21" customHeight="1" x14ac:dyDescent="0.25">
      <c r="B67" s="10" t="s">
        <v>9</v>
      </c>
      <c r="C67" s="26" t="s">
        <v>24</v>
      </c>
      <c r="D67" s="46" t="s">
        <v>61</v>
      </c>
      <c r="E67" s="39" t="s">
        <v>61</v>
      </c>
      <c r="F67" s="39" t="s">
        <v>61</v>
      </c>
      <c r="G67" s="39" t="s">
        <v>61</v>
      </c>
      <c r="H67" s="39" t="s">
        <v>61</v>
      </c>
      <c r="I67" s="26" t="s">
        <v>22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 spans="2:22" s="5" customFormat="1" ht="21" customHeight="1" x14ac:dyDescent="0.25">
      <c r="B68" s="10" t="s">
        <v>20</v>
      </c>
      <c r="C68" s="26"/>
      <c r="D68" s="29" t="s">
        <v>34</v>
      </c>
      <c r="E68" s="29" t="s">
        <v>34</v>
      </c>
      <c r="F68" s="29" t="s">
        <v>34</v>
      </c>
      <c r="G68" s="29" t="s">
        <v>34</v>
      </c>
      <c r="H68" s="29" t="s">
        <v>34</v>
      </c>
      <c r="I68" s="2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 spans="2:22" s="5" customFormat="1" ht="21" customHeight="1" thickBot="1" x14ac:dyDescent="0.3">
      <c r="B69" s="23" t="s">
        <v>13</v>
      </c>
      <c r="C69" s="30" t="s">
        <v>28</v>
      </c>
      <c r="D69" s="28" t="s">
        <v>67</v>
      </c>
      <c r="E69" s="28" t="s">
        <v>67</v>
      </c>
      <c r="F69" s="28" t="s">
        <v>67</v>
      </c>
      <c r="G69" s="28" t="s">
        <v>68</v>
      </c>
      <c r="H69" s="28" t="s">
        <v>69</v>
      </c>
      <c r="I69" s="30" t="s">
        <v>28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</row>
    <row r="70" spans="2:22" s="5" customFormat="1" ht="3" customHeight="1" thickBot="1" x14ac:dyDescent="0.3">
      <c r="B70" s="68"/>
      <c r="C70" s="73"/>
      <c r="D70" s="73"/>
      <c r="E70" s="73"/>
      <c r="F70" s="73"/>
      <c r="G70" s="73"/>
      <c r="H70" s="73"/>
      <c r="I70" s="74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 spans="2:22" ht="18" customHeight="1" x14ac:dyDescent="0.25"/>
    <row r="72" spans="2:22" ht="18" customHeight="1" x14ac:dyDescent="0.25"/>
    <row r="73" spans="2:22" ht="18" customHeight="1" x14ac:dyDescent="0.25"/>
    <row r="74" spans="2:22" ht="18" customHeight="1" x14ac:dyDescent="0.25"/>
    <row r="75" spans="2:22" ht="18" customHeight="1" x14ac:dyDescent="0.25"/>
    <row r="76" spans="2:22" ht="18" customHeight="1" x14ac:dyDescent="0.25"/>
    <row r="77" spans="2:22" ht="18" customHeight="1" x14ac:dyDescent="0.25"/>
    <row r="78" spans="2:22" ht="18" customHeight="1" x14ac:dyDescent="0.25"/>
    <row r="79" spans="2:22" ht="18" customHeight="1" x14ac:dyDescent="0.25"/>
    <row r="80" spans="2:22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  <row r="93" ht="18" customHeight="1" x14ac:dyDescent="0.25"/>
    <row r="94" ht="18" customHeight="1" x14ac:dyDescent="0.25"/>
    <row r="95" ht="18" customHeight="1" x14ac:dyDescent="0.25"/>
    <row r="96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</sheetData>
  <mergeCells count="20">
    <mergeCell ref="B70:I70"/>
    <mergeCell ref="B43:I43"/>
    <mergeCell ref="B44:B45"/>
    <mergeCell ref="B52:I52"/>
    <mergeCell ref="B53:B54"/>
    <mergeCell ref="B61:I61"/>
    <mergeCell ref="B62:B63"/>
    <mergeCell ref="B35:B36"/>
    <mergeCell ref="B2:E5"/>
    <mergeCell ref="F2:F9"/>
    <mergeCell ref="W3:X3"/>
    <mergeCell ref="B6:E8"/>
    <mergeCell ref="B9:B15"/>
    <mergeCell ref="C9:E15"/>
    <mergeCell ref="F10:F15"/>
    <mergeCell ref="B16:I16"/>
    <mergeCell ref="B17:B18"/>
    <mergeCell ref="B25:I25"/>
    <mergeCell ref="B26:B27"/>
    <mergeCell ref="B34:I34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BECEF4DB9461428BE67C6930E2B2E8" ma:contentTypeVersion="15" ma:contentTypeDescription="Create a new document." ma:contentTypeScope="" ma:versionID="239219cce826eb0e3e3db7026bbac0d8">
  <xsd:schema xmlns:xsd="http://www.w3.org/2001/XMLSchema" xmlns:xs="http://www.w3.org/2001/XMLSchema" xmlns:p="http://schemas.microsoft.com/office/2006/metadata/properties" xmlns:ns3="2f79c993-bb85-44a2-ad65-e5cb4ec8e735" xmlns:ns4="26063db2-a0a9-437a-9ede-4998031ed4fb" targetNamespace="http://schemas.microsoft.com/office/2006/metadata/properties" ma:root="true" ma:fieldsID="bbf46160f349c40d0019cfc16625f013" ns3:_="" ns4:_="">
    <xsd:import namespace="2f79c993-bb85-44a2-ad65-e5cb4ec8e735"/>
    <xsd:import namespace="26063db2-a0a9-437a-9ede-4998031ed4fb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79c993-bb85-44a2-ad65-e5cb4ec8e735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063db2-a0a9-437a-9ede-4998031ed4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f79c993-bb85-44a2-ad65-e5cb4ec8e73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D97035-A626-4B3C-A453-8DCF52D1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79c993-bb85-44a2-ad65-e5cb4ec8e735"/>
    <ds:schemaRef ds:uri="26063db2-a0a9-437a-9ede-4998031ed4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5B4A78-8AD8-41D1-AF12-E9F387761BCC}">
  <ds:schemaRefs>
    <ds:schemaRef ds:uri="2f79c993-bb85-44a2-ad65-e5cb4ec8e735"/>
    <ds:schemaRef ds:uri="http://www.w3.org/XML/1998/namespace"/>
    <ds:schemaRef ds:uri="26063db2-a0a9-437a-9ede-4998031ed4fb"/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4A37B1A-E4F9-4161-8E72-1AB54096C62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Sep 2025 (2)</vt:lpstr>
      <vt:lpstr>Aug 2026</vt:lpstr>
      <vt:lpstr>Nov 2025 (2)</vt:lpstr>
      <vt:lpstr>Oct 2025 (2)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Chincholi</dc:creator>
  <cp:lastModifiedBy>Venkatesh Krishna</cp:lastModifiedBy>
  <cp:lastPrinted>2022-11-30T12:40:35Z</cp:lastPrinted>
  <dcterms:created xsi:type="dcterms:W3CDTF">2015-01-26T10:39:43Z</dcterms:created>
  <dcterms:modified xsi:type="dcterms:W3CDTF">2026-09-24T13:59:00Z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0x010100E0BECEF4DB9461428BE67C6930E2B2E8</vt:lpwstr>
  </property>
</Properties>
</file>